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Q:\= IRI data research\Manuscript for  SUBMISSION\results\"/>
    </mc:Choice>
  </mc:AlternateContent>
  <bookViews>
    <workbookView xWindow="0" yWindow="0" windowWidth="28800" windowHeight="12435" tabRatio="811"/>
  </bookViews>
  <sheets>
    <sheet name="all period" sheetId="2" r:id="rId1"/>
    <sheet name="sig all period raw" sheetId="7" r:id="rId2"/>
    <sheet name="sig all period format" sheetId="16" r:id="rId3"/>
    <sheet name="non" sheetId="5" r:id="rId4"/>
    <sheet name="promo" sheetId="17" r:id="rId5"/>
    <sheet name="improve_on_ADL_own" sheetId="18" r:id="rId6"/>
    <sheet name="improve_on_ADL" sheetId="19" r:id="rId7"/>
    <sheet name="improve_on_ADLown raw" sheetId="15" r:id="rId8"/>
    <sheet name="improve_on_ADL raw" sheetId="10" r:id="rId9"/>
  </sheets>
  <calcPr calcId="162913"/>
</workbook>
</file>

<file path=xl/calcChain.xml><?xml version="1.0" encoding="utf-8"?>
<calcChain xmlns="http://schemas.openxmlformats.org/spreadsheetml/2006/main">
  <c r="Y33" i="2" l="1"/>
  <c r="Y32" i="2"/>
  <c r="E44" i="2"/>
  <c r="G44" i="2"/>
  <c r="I44" i="2"/>
  <c r="E45" i="2"/>
  <c r="G45" i="2"/>
  <c r="I45" i="2"/>
  <c r="E46" i="2"/>
  <c r="G46" i="2"/>
  <c r="I46" i="2"/>
  <c r="C46" i="2"/>
  <c r="C45" i="2"/>
  <c r="C44" i="2"/>
  <c r="Y75" i="19"/>
  <c r="X75" i="19"/>
  <c r="W75" i="19"/>
  <c r="V75" i="19"/>
  <c r="U75" i="19"/>
  <c r="T75" i="19"/>
  <c r="S75" i="19"/>
  <c r="R75" i="19"/>
  <c r="Q75" i="19"/>
  <c r="M75" i="19"/>
  <c r="L75" i="19"/>
  <c r="K75" i="19"/>
  <c r="J75" i="19"/>
  <c r="I75" i="19"/>
  <c r="H75" i="19"/>
  <c r="G75" i="19"/>
  <c r="F75" i="19"/>
  <c r="E75" i="19"/>
  <c r="AE63" i="15"/>
  <c r="AE64" i="15"/>
  <c r="AE65" i="15"/>
  <c r="AE66" i="15"/>
  <c r="AE67" i="15"/>
  <c r="AE68" i="15"/>
  <c r="AE69" i="15"/>
  <c r="AE70" i="15"/>
  <c r="AE71" i="15"/>
  <c r="AE72" i="15"/>
  <c r="AE73" i="15"/>
  <c r="AE74" i="15"/>
  <c r="AE75" i="15"/>
  <c r="AE76" i="15"/>
  <c r="AE62" i="15"/>
  <c r="AD63" i="15"/>
  <c r="AD64" i="15"/>
  <c r="AD65" i="15"/>
  <c r="AD66" i="15"/>
  <c r="AD67" i="15"/>
  <c r="AD68" i="15"/>
  <c r="AD69" i="15"/>
  <c r="AD70" i="15"/>
  <c r="AD71" i="15"/>
  <c r="AD72" i="15"/>
  <c r="AD73" i="15"/>
  <c r="AD74" i="15"/>
  <c r="AD75" i="15"/>
  <c r="AD76" i="15"/>
  <c r="AD62" i="15"/>
  <c r="Z27" i="18"/>
  <c r="Z28" i="18"/>
  <c r="Z29" i="18"/>
  <c r="Z30" i="18"/>
  <c r="Z31" i="18"/>
  <c r="Z32" i="18"/>
  <c r="Z33" i="18"/>
  <c r="Z34" i="18"/>
  <c r="Z35" i="18"/>
  <c r="Z36" i="18"/>
  <c r="Z37" i="18"/>
  <c r="Z38" i="18"/>
  <c r="Z39" i="18"/>
  <c r="Z40" i="18"/>
  <c r="Z41" i="18"/>
  <c r="Z42" i="18"/>
  <c r="Z43" i="18"/>
  <c r="Z44" i="18"/>
  <c r="Z45" i="18"/>
  <c r="Z46" i="18"/>
  <c r="Z47" i="18"/>
  <c r="Z48" i="18"/>
  <c r="Z49" i="18"/>
  <c r="Z50" i="18"/>
  <c r="Z51" i="18"/>
  <c r="Z52" i="18"/>
  <c r="Z53" i="18"/>
  <c r="Z54" i="18"/>
  <c r="Z55" i="18"/>
  <c r="Z56" i="18"/>
  <c r="Z57" i="18"/>
  <c r="Z58" i="18"/>
  <c r="Z59" i="18"/>
  <c r="Z60" i="18"/>
  <c r="Z61" i="18"/>
  <c r="Z62" i="18"/>
  <c r="Z63" i="18"/>
  <c r="Z64" i="18"/>
  <c r="Z65" i="18"/>
  <c r="Z66" i="18"/>
  <c r="Z67" i="18"/>
  <c r="Z68" i="18"/>
  <c r="Z69" i="18"/>
  <c r="Z70" i="18"/>
  <c r="Z71" i="18"/>
  <c r="Z72" i="18"/>
  <c r="Z73" i="18"/>
  <c r="Z74" i="18"/>
  <c r="Z26" i="18"/>
  <c r="Y75" i="18"/>
  <c r="X75" i="18"/>
  <c r="W75" i="18"/>
  <c r="V75" i="18"/>
  <c r="U75" i="18"/>
  <c r="T75" i="18"/>
  <c r="S75" i="18"/>
  <c r="R75" i="18"/>
  <c r="Q75" i="18"/>
  <c r="M75" i="18"/>
  <c r="L75" i="18"/>
  <c r="K75" i="18"/>
  <c r="G75" i="18"/>
  <c r="F75" i="18"/>
  <c r="E75" i="18"/>
  <c r="AF63" i="15" l="1"/>
  <c r="AG63" i="15"/>
  <c r="AF64" i="15"/>
  <c r="AG64" i="15"/>
  <c r="AF65" i="15"/>
  <c r="AG65" i="15"/>
  <c r="AF66" i="15"/>
  <c r="AG66" i="15"/>
  <c r="AF67" i="15"/>
  <c r="AG67" i="15"/>
  <c r="AF68" i="15"/>
  <c r="AG68" i="15"/>
  <c r="AF69" i="15"/>
  <c r="AG69" i="15"/>
  <c r="AF70" i="15"/>
  <c r="AG70" i="15"/>
  <c r="AF71" i="15"/>
  <c r="AG71" i="15"/>
  <c r="AF72" i="15"/>
  <c r="AG72" i="15"/>
  <c r="AF73" i="15"/>
  <c r="AG73" i="15"/>
  <c r="AF74" i="15"/>
  <c r="AG74" i="15"/>
  <c r="AF75" i="15"/>
  <c r="AG75" i="15"/>
  <c r="AF76" i="15"/>
  <c r="AG76" i="15"/>
  <c r="AG62" i="15"/>
  <c r="AF62" i="15"/>
  <c r="M77" i="15" l="1"/>
  <c r="L77" i="15"/>
  <c r="K77" i="15"/>
  <c r="M59" i="15"/>
  <c r="L59" i="15"/>
  <c r="K59" i="15"/>
  <c r="M41" i="15"/>
  <c r="L41" i="15"/>
  <c r="K41" i="15"/>
  <c r="G77" i="15"/>
  <c r="F77" i="15"/>
  <c r="E77" i="15"/>
  <c r="Y77" i="15"/>
  <c r="X77" i="15"/>
  <c r="W77" i="15"/>
  <c r="V77" i="15"/>
  <c r="U77" i="15"/>
  <c r="T77" i="15"/>
  <c r="S77" i="15"/>
  <c r="R77" i="15"/>
  <c r="Q77" i="15"/>
  <c r="G59" i="15"/>
  <c r="F59" i="15"/>
  <c r="E59" i="15"/>
  <c r="Y59" i="15"/>
  <c r="X59" i="15"/>
  <c r="W59" i="15"/>
  <c r="V59" i="15"/>
  <c r="U59" i="15"/>
  <c r="T59" i="15"/>
  <c r="S59" i="15"/>
  <c r="R59" i="15"/>
  <c r="Q59" i="15"/>
  <c r="G41" i="15"/>
  <c r="F41" i="15"/>
  <c r="E41" i="15"/>
  <c r="Y41" i="15"/>
  <c r="X41" i="15"/>
  <c r="W41" i="15"/>
  <c r="V41" i="15"/>
  <c r="U41" i="15"/>
  <c r="T41" i="15"/>
  <c r="S41" i="15"/>
  <c r="R41" i="15"/>
  <c r="Q41" i="15"/>
  <c r="M77" i="10"/>
  <c r="L77" i="10"/>
  <c r="K77" i="10"/>
  <c r="J77" i="10"/>
  <c r="I77" i="10"/>
  <c r="H77" i="10"/>
  <c r="G77" i="10"/>
  <c r="F77" i="10"/>
  <c r="E77" i="10"/>
  <c r="Y77" i="10"/>
  <c r="X77" i="10"/>
  <c r="W77" i="10"/>
  <c r="V77" i="10"/>
  <c r="U77" i="10"/>
  <c r="T77" i="10"/>
  <c r="S77" i="10"/>
  <c r="R77" i="10"/>
  <c r="Q77" i="10"/>
  <c r="M59" i="10"/>
  <c r="L59" i="10"/>
  <c r="K59" i="10"/>
  <c r="J59" i="10"/>
  <c r="I59" i="10"/>
  <c r="H59" i="10"/>
  <c r="G59" i="10"/>
  <c r="F59" i="10"/>
  <c r="E59" i="10"/>
  <c r="Y59" i="10"/>
  <c r="X59" i="10"/>
  <c r="W59" i="10"/>
  <c r="V59" i="10"/>
  <c r="U59" i="10"/>
  <c r="T59" i="10"/>
  <c r="S59" i="10"/>
  <c r="R59" i="10"/>
  <c r="Q59" i="10"/>
  <c r="M41" i="10"/>
  <c r="L41" i="10"/>
  <c r="K41" i="10"/>
  <c r="J41" i="10"/>
  <c r="I41" i="10"/>
  <c r="H41" i="10"/>
  <c r="G41" i="10"/>
  <c r="F41" i="10"/>
  <c r="E41" i="10"/>
  <c r="Y41" i="10"/>
  <c r="X41" i="10"/>
  <c r="W41" i="10"/>
  <c r="V41" i="10"/>
  <c r="U41" i="10"/>
  <c r="T41" i="10"/>
  <c r="S41" i="10"/>
  <c r="R41" i="10"/>
  <c r="Q41" i="10"/>
</calcChain>
</file>

<file path=xl/sharedStrings.xml><?xml version="1.0" encoding="utf-8"?>
<sst xmlns="http://schemas.openxmlformats.org/spreadsheetml/2006/main" count="1388" uniqueCount="46">
  <si>
    <t>Fixed scheme</t>
  </si>
  <si>
    <t>MASE</t>
  </si>
  <si>
    <t>AvgRelMAE</t>
  </si>
  <si>
    <t>ADL-own*</t>
  </si>
  <si>
    <t>Base-times-lift</t>
  </si>
  <si>
    <t>ADL</t>
  </si>
  <si>
    <t>ADL-own-IC</t>
  </si>
  <si>
    <t>ADL-own-ewc</t>
  </si>
  <si>
    <t>ADL-IC</t>
  </si>
  <si>
    <t>ADL-DI</t>
  </si>
  <si>
    <t>MAPE</t>
  </si>
  <si>
    <t>SMAPE</t>
  </si>
  <si>
    <t>Forecast horizon= 1</t>
  </si>
  <si>
    <t>Forecast horizon= 4</t>
  </si>
  <si>
    <t>Forecast horizon= 12</t>
  </si>
  <si>
    <t>ADL-DI-IC</t>
  </si>
  <si>
    <t>ADL-DI-EWC</t>
  </si>
  <si>
    <t>ADL-EWC</t>
  </si>
  <si>
    <t>Rolling scheme</t>
  </si>
  <si>
    <t>Rank</t>
  </si>
  <si>
    <t>Beer</t>
  </si>
  <si>
    <t>Carbonated beverages</t>
  </si>
  <si>
    <t>Coffee</t>
  </si>
  <si>
    <t>Frozen pizza</t>
  </si>
  <si>
    <t>Margarine/Butter</t>
  </si>
  <si>
    <t>Mayonnaise</t>
  </si>
  <si>
    <t>Peanut butter</t>
  </si>
  <si>
    <t>Salty snacks</t>
  </si>
  <si>
    <t>Soup</t>
  </si>
  <si>
    <t>category</t>
  </si>
  <si>
    <t>mustketc</t>
  </si>
  <si>
    <t>ADL-own</t>
  </si>
  <si>
    <t>ADL-own-EWC</t>
  </si>
  <si>
    <t>Rolling, Forecast horizon=1</t>
  </si>
  <si>
    <t>Rolling, Forecast horizon=4</t>
  </si>
  <si>
    <t>Rolling, Forecast horizon=12</t>
  </si>
  <si>
    <t>Hotdog</t>
  </si>
  <si>
    <t>Household cleaner</t>
  </si>
  <si>
    <t>Laundry detergent</t>
  </si>
  <si>
    <t>Sugar substitutes</t>
  </si>
  <si>
    <t>Toothpaste</t>
  </si>
  <si>
    <t>Fixed, Forecast horizon=4</t>
  </si>
  <si>
    <t>Fixed, Forecast horizon=1</t>
  </si>
  <si>
    <t>Fixed, Forecast horizon=12</t>
  </si>
  <si>
    <t>Rolling</t>
  </si>
  <si>
    <t>Mustard &amp; ketchup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</si>
</sst>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medium">
        <color rgb="FF000000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medium">
        <color rgb="FF000000"/>
      </bottom>
      <diagonal/>
    </border>
    <border>
      <left style="thin">
        <color rgb="FFC1C1C1"/>
      </left>
      <right style="medium">
        <color rgb="FF000000"/>
      </right>
      <top style="thin">
        <color rgb="FFC1C1C1"/>
      </top>
      <bottom style="medium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rgb="FFC1C1C1"/>
      </left>
      <right style="medium">
        <color rgb="FF000000"/>
      </right>
      <top style="thin">
        <color rgb="FFC1C1C1"/>
      </top>
      <bottom/>
      <diagonal/>
    </border>
    <border>
      <left style="thin">
        <color rgb="FFC1C1C1"/>
      </left>
      <right style="thin">
        <color indexed="64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indexed="64"/>
      </bottom>
      <diagonal/>
    </border>
    <border>
      <left style="thin">
        <color rgb="FFC1C1C1"/>
      </left>
      <right style="medium">
        <color rgb="FF000000"/>
      </right>
      <top style="thin">
        <color rgb="FFC1C1C1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80">
    <xf numFmtId="0" fontId="0" fillId="0" borderId="0" xfId="0"/>
    <xf numFmtId="0" fontId="0" fillId="0" borderId="0" xfId="0" applyBorder="1"/>
    <xf numFmtId="0" fontId="0" fillId="0" borderId="0" xfId="0" applyBorder="1" applyAlignment="1">
      <alignment vertical="top" wrapText="1"/>
    </xf>
    <xf numFmtId="0" fontId="0" fillId="0" borderId="0" xfId="0" applyFill="1" applyBorder="1" applyAlignment="1">
      <alignment vertical="top" wrapText="1"/>
    </xf>
    <xf numFmtId="0" fontId="0" fillId="33" borderId="0" xfId="0" applyFill="1" applyBorder="1"/>
    <xf numFmtId="10" fontId="18" fillId="33" borderId="0" xfId="0" applyNumberFormat="1" applyFont="1" applyFill="1" applyBorder="1" applyAlignment="1">
      <alignment vertical="top" wrapText="1"/>
    </xf>
    <xf numFmtId="164" fontId="18" fillId="33" borderId="0" xfId="0" applyNumberFormat="1" applyFont="1" applyFill="1" applyBorder="1" applyAlignment="1">
      <alignment vertical="top" wrapText="1"/>
    </xf>
    <xf numFmtId="10" fontId="0" fillId="33" borderId="0" xfId="0" applyNumberFormat="1" applyFill="1" applyBorder="1"/>
    <xf numFmtId="0" fontId="21" fillId="33" borderId="20" xfId="0" applyFont="1" applyFill="1" applyBorder="1" applyAlignment="1">
      <alignment horizontal="center" vertical="top" wrapText="1"/>
    </xf>
    <xf numFmtId="0" fontId="21" fillId="33" borderId="21" xfId="0" applyFont="1" applyFill="1" applyBorder="1" applyAlignment="1">
      <alignment horizontal="center" vertical="top" wrapText="1"/>
    </xf>
    <xf numFmtId="0" fontId="21" fillId="33" borderId="22" xfId="0" applyFont="1" applyFill="1" applyBorder="1" applyAlignment="1">
      <alignment horizontal="center" vertical="top" wrapText="1"/>
    </xf>
    <xf numFmtId="10" fontId="18" fillId="33" borderId="23" xfId="0" applyNumberFormat="1" applyFont="1" applyFill="1" applyBorder="1" applyAlignment="1">
      <alignment vertical="top" wrapText="1"/>
    </xf>
    <xf numFmtId="10" fontId="18" fillId="33" borderId="25" xfId="0" applyNumberFormat="1" applyFont="1" applyFill="1" applyBorder="1" applyAlignment="1">
      <alignment vertical="top" wrapText="1"/>
    </xf>
    <xf numFmtId="10" fontId="18" fillId="33" borderId="18" xfId="0" applyNumberFormat="1" applyFont="1" applyFill="1" applyBorder="1" applyAlignment="1">
      <alignment vertical="top" wrapText="1"/>
    </xf>
    <xf numFmtId="164" fontId="18" fillId="33" borderId="18" xfId="0" applyNumberFormat="1" applyFont="1" applyFill="1" applyBorder="1" applyAlignment="1">
      <alignment vertical="top" wrapText="1"/>
    </xf>
    <xf numFmtId="0" fontId="21" fillId="33" borderId="19" xfId="0" applyFont="1" applyFill="1" applyBorder="1" applyAlignment="1">
      <alignment horizontal="center" vertical="top" wrapText="1"/>
    </xf>
    <xf numFmtId="10" fontId="18" fillId="33" borderId="27" xfId="0" applyNumberFormat="1" applyFont="1" applyFill="1" applyBorder="1" applyAlignment="1">
      <alignment vertical="top" wrapText="1"/>
    </xf>
    <xf numFmtId="10" fontId="18" fillId="33" borderId="28" xfId="0" applyNumberFormat="1" applyFont="1" applyFill="1" applyBorder="1" applyAlignment="1">
      <alignment vertical="top" wrapText="1"/>
    </xf>
    <xf numFmtId="164" fontId="18" fillId="33" borderId="27" xfId="0" applyNumberFormat="1" applyFont="1" applyFill="1" applyBorder="1" applyAlignment="1">
      <alignment vertical="top" wrapText="1"/>
    </xf>
    <xf numFmtId="0" fontId="0" fillId="33" borderId="20" xfId="0" applyFill="1" applyBorder="1"/>
    <xf numFmtId="0" fontId="21" fillId="33" borderId="25" xfId="0" applyFont="1" applyFill="1" applyBorder="1" applyAlignment="1">
      <alignment horizontal="center" vertical="top" wrapText="1"/>
    </xf>
    <xf numFmtId="0" fontId="18" fillId="33" borderId="23" xfId="0" applyFont="1" applyFill="1" applyBorder="1" applyAlignment="1">
      <alignment vertical="top" wrapText="1"/>
    </xf>
    <xf numFmtId="164" fontId="18" fillId="33" borderId="24" xfId="0" applyNumberFormat="1" applyFont="1" applyFill="1" applyBorder="1" applyAlignment="1">
      <alignment vertical="top" wrapText="1"/>
    </xf>
    <xf numFmtId="0" fontId="18" fillId="33" borderId="25" xfId="0" applyFont="1" applyFill="1" applyBorder="1" applyAlignment="1">
      <alignment vertical="top" wrapText="1"/>
    </xf>
    <xf numFmtId="164" fontId="18" fillId="33" borderId="26" xfId="0" applyNumberFormat="1" applyFont="1" applyFill="1" applyBorder="1" applyAlignment="1">
      <alignment vertical="top" wrapText="1"/>
    </xf>
    <xf numFmtId="10" fontId="19" fillId="0" borderId="10" xfId="0" applyNumberFormat="1" applyFont="1" applyFill="1" applyBorder="1" applyAlignment="1">
      <alignment horizontal="right" vertical="top" wrapText="1"/>
    </xf>
    <xf numFmtId="0" fontId="19" fillId="0" borderId="11" xfId="0" applyFont="1" applyFill="1" applyBorder="1" applyAlignment="1">
      <alignment horizontal="right" vertical="top" wrapText="1"/>
    </xf>
    <xf numFmtId="10" fontId="19" fillId="0" borderId="14" xfId="0" applyNumberFormat="1" applyFont="1" applyFill="1" applyBorder="1" applyAlignment="1">
      <alignment horizontal="right" vertical="top" wrapText="1"/>
    </xf>
    <xf numFmtId="0" fontId="19" fillId="0" borderId="15" xfId="0" applyFont="1" applyFill="1" applyBorder="1" applyAlignment="1">
      <alignment horizontal="right" vertical="top" wrapText="1"/>
    </xf>
    <xf numFmtId="164" fontId="19" fillId="0" borderId="14" xfId="0" applyNumberFormat="1" applyFont="1" applyFill="1" applyBorder="1" applyAlignment="1">
      <alignment horizontal="right" vertical="top" wrapText="1"/>
    </xf>
    <xf numFmtId="10" fontId="19" fillId="0" borderId="12" xfId="0" applyNumberFormat="1" applyFont="1" applyFill="1" applyBorder="1" applyAlignment="1">
      <alignment horizontal="right" vertical="top" wrapText="1"/>
    </xf>
    <xf numFmtId="0" fontId="19" fillId="0" borderId="13" xfId="0" applyFont="1" applyFill="1" applyBorder="1" applyAlignment="1">
      <alignment horizontal="right" vertical="top" wrapText="1"/>
    </xf>
    <xf numFmtId="10" fontId="19" fillId="0" borderId="16" xfId="0" applyNumberFormat="1" applyFont="1" applyFill="1" applyBorder="1" applyAlignment="1">
      <alignment horizontal="right" vertical="top" wrapText="1"/>
    </xf>
    <xf numFmtId="0" fontId="19" fillId="0" borderId="17" xfId="0" applyFont="1" applyFill="1" applyBorder="1" applyAlignment="1">
      <alignment horizontal="right" vertical="top" wrapText="1"/>
    </xf>
    <xf numFmtId="164" fontId="19" fillId="0" borderId="16" xfId="0" applyNumberFormat="1" applyFont="1" applyFill="1" applyBorder="1" applyAlignment="1">
      <alignment horizontal="right" vertical="top" wrapText="1"/>
    </xf>
    <xf numFmtId="10" fontId="19" fillId="0" borderId="10" xfId="0" applyNumberFormat="1" applyFont="1" applyFill="1" applyBorder="1" applyAlignment="1">
      <alignment vertical="top" wrapText="1"/>
    </xf>
    <xf numFmtId="0" fontId="19" fillId="0" borderId="11" xfId="0" applyFont="1" applyFill="1" applyBorder="1" applyAlignment="1">
      <alignment vertical="top" wrapText="1"/>
    </xf>
    <xf numFmtId="10" fontId="19" fillId="0" borderId="14" xfId="0" applyNumberFormat="1" applyFont="1" applyFill="1" applyBorder="1" applyAlignment="1">
      <alignment vertical="top" wrapText="1"/>
    </xf>
    <xf numFmtId="0" fontId="19" fillId="0" borderId="15" xfId="0" applyFont="1" applyFill="1" applyBorder="1" applyAlignment="1">
      <alignment vertical="top" wrapText="1"/>
    </xf>
    <xf numFmtId="164" fontId="19" fillId="0" borderId="14" xfId="0" applyNumberFormat="1" applyFont="1" applyFill="1" applyBorder="1" applyAlignment="1">
      <alignment vertical="top" wrapText="1"/>
    </xf>
    <xf numFmtId="10" fontId="19" fillId="0" borderId="12" xfId="0" applyNumberFormat="1" applyFont="1" applyFill="1" applyBorder="1" applyAlignment="1">
      <alignment vertical="top" wrapText="1"/>
    </xf>
    <xf numFmtId="0" fontId="19" fillId="0" borderId="13" xfId="0" applyFont="1" applyFill="1" applyBorder="1" applyAlignment="1">
      <alignment vertical="top" wrapText="1"/>
    </xf>
    <xf numFmtId="10" fontId="19" fillId="0" borderId="16" xfId="0" applyNumberFormat="1" applyFont="1" applyFill="1" applyBorder="1" applyAlignment="1">
      <alignment vertical="top" wrapText="1"/>
    </xf>
    <xf numFmtId="0" fontId="19" fillId="0" borderId="17" xfId="0" applyFont="1" applyFill="1" applyBorder="1" applyAlignment="1">
      <alignment vertical="top" wrapText="1"/>
    </xf>
    <xf numFmtId="164" fontId="19" fillId="0" borderId="16" xfId="0" applyNumberFormat="1" applyFont="1" applyFill="1" applyBorder="1" applyAlignment="1">
      <alignment vertical="top" wrapText="1"/>
    </xf>
    <xf numFmtId="164" fontId="18" fillId="33" borderId="28" xfId="0" applyNumberFormat="1" applyFont="1" applyFill="1" applyBorder="1" applyAlignment="1">
      <alignment vertical="top" wrapText="1"/>
    </xf>
    <xf numFmtId="10" fontId="18" fillId="33" borderId="29" xfId="0" applyNumberFormat="1" applyFont="1" applyFill="1" applyBorder="1" applyAlignment="1">
      <alignment vertical="top" wrapText="1"/>
    </xf>
    <xf numFmtId="10" fontId="19" fillId="33" borderId="10" xfId="0" applyNumberFormat="1" applyFont="1" applyFill="1" applyBorder="1" applyAlignment="1">
      <alignment vertical="top" wrapText="1"/>
    </xf>
    <xf numFmtId="0" fontId="19" fillId="33" borderId="11" xfId="0" applyFont="1" applyFill="1" applyBorder="1" applyAlignment="1">
      <alignment vertical="top" wrapText="1"/>
    </xf>
    <xf numFmtId="10" fontId="19" fillId="33" borderId="12" xfId="0" applyNumberFormat="1" applyFont="1" applyFill="1" applyBorder="1" applyAlignment="1">
      <alignment vertical="top" wrapText="1"/>
    </xf>
    <xf numFmtId="0" fontId="19" fillId="33" borderId="13" xfId="0" applyFont="1" applyFill="1" applyBorder="1" applyAlignment="1">
      <alignment vertical="top" wrapText="1"/>
    </xf>
    <xf numFmtId="0" fontId="20" fillId="33" borderId="0" xfId="0" applyFont="1" applyFill="1"/>
    <xf numFmtId="0" fontId="0" fillId="33" borderId="0" xfId="0" applyFill="1"/>
    <xf numFmtId="0" fontId="0" fillId="33" borderId="0" xfId="0" applyFill="1" applyBorder="1" applyAlignment="1">
      <alignment vertical="top" wrapText="1"/>
    </xf>
    <xf numFmtId="0" fontId="0" fillId="33" borderId="19" xfId="0" applyFill="1" applyBorder="1"/>
    <xf numFmtId="164" fontId="0" fillId="33" borderId="19" xfId="0" applyNumberFormat="1" applyFill="1" applyBorder="1"/>
    <xf numFmtId="0" fontId="0" fillId="33" borderId="0" xfId="0" applyFill="1" applyAlignment="1">
      <alignment horizontal="center"/>
    </xf>
    <xf numFmtId="0" fontId="0" fillId="33" borderId="23" xfId="0" applyFill="1" applyBorder="1"/>
    <xf numFmtId="0" fontId="0" fillId="33" borderId="23" xfId="0" applyFill="1" applyBorder="1" applyAlignment="1">
      <alignment vertical="top" wrapText="1"/>
    </xf>
    <xf numFmtId="0" fontId="0" fillId="34" borderId="0" xfId="0" applyFill="1"/>
    <xf numFmtId="0" fontId="0" fillId="34" borderId="23" xfId="0" applyFill="1" applyBorder="1"/>
    <xf numFmtId="164" fontId="0" fillId="33" borderId="0" xfId="0" applyNumberFormat="1" applyFill="1"/>
    <xf numFmtId="164" fontId="0" fillId="33" borderId="19" xfId="0" applyNumberFormat="1" applyFill="1" applyBorder="1" applyAlignment="1">
      <alignment horizontal="right"/>
    </xf>
    <xf numFmtId="0" fontId="0" fillId="33" borderId="19" xfId="0" applyFill="1" applyBorder="1" applyAlignment="1">
      <alignment vertical="top" wrapText="1"/>
    </xf>
    <xf numFmtId="164" fontId="0" fillId="33" borderId="0" xfId="0" applyNumberFormat="1" applyFont="1" applyFill="1"/>
    <xf numFmtId="0" fontId="0" fillId="33" borderId="0" xfId="0" applyFont="1" applyFill="1"/>
    <xf numFmtId="10" fontId="18" fillId="33" borderId="10" xfId="0" applyNumberFormat="1" applyFont="1" applyFill="1" applyBorder="1" applyAlignment="1">
      <alignment vertical="top" wrapText="1"/>
    </xf>
    <xf numFmtId="0" fontId="18" fillId="33" borderId="11" xfId="0" applyFont="1" applyFill="1" applyBorder="1" applyAlignment="1">
      <alignment vertical="top" wrapText="1"/>
    </xf>
    <xf numFmtId="10" fontId="18" fillId="33" borderId="14" xfId="0" applyNumberFormat="1" applyFont="1" applyFill="1" applyBorder="1" applyAlignment="1">
      <alignment vertical="top" wrapText="1"/>
    </xf>
    <xf numFmtId="0" fontId="18" fillId="33" borderId="15" xfId="0" applyFont="1" applyFill="1" applyBorder="1" applyAlignment="1">
      <alignment vertical="top" wrapText="1"/>
    </xf>
    <xf numFmtId="164" fontId="18" fillId="33" borderId="14" xfId="0" applyNumberFormat="1" applyFont="1" applyFill="1" applyBorder="1" applyAlignment="1">
      <alignment vertical="top" wrapText="1"/>
    </xf>
    <xf numFmtId="10" fontId="19" fillId="33" borderId="14" xfId="0" applyNumberFormat="1" applyFont="1" applyFill="1" applyBorder="1" applyAlignment="1">
      <alignment vertical="top" wrapText="1"/>
    </xf>
    <xf numFmtId="0" fontId="19" fillId="33" borderId="15" xfId="0" applyFont="1" applyFill="1" applyBorder="1" applyAlignment="1">
      <alignment vertical="top" wrapText="1"/>
    </xf>
    <xf numFmtId="164" fontId="19" fillId="33" borderId="14" xfId="0" applyNumberFormat="1" applyFont="1" applyFill="1" applyBorder="1" applyAlignment="1">
      <alignment vertical="top" wrapText="1"/>
    </xf>
    <xf numFmtId="0" fontId="22" fillId="33" borderId="0" xfId="0" applyFont="1" applyFill="1"/>
    <xf numFmtId="10" fontId="23" fillId="33" borderId="10" xfId="0" applyNumberFormat="1" applyFont="1" applyFill="1" applyBorder="1" applyAlignment="1">
      <alignment vertical="top" wrapText="1"/>
    </xf>
    <xf numFmtId="0" fontId="23" fillId="33" borderId="11" xfId="0" applyFont="1" applyFill="1" applyBorder="1" applyAlignment="1">
      <alignment vertical="top" wrapText="1"/>
    </xf>
    <xf numFmtId="10" fontId="23" fillId="33" borderId="14" xfId="0" applyNumberFormat="1" applyFont="1" applyFill="1" applyBorder="1" applyAlignment="1">
      <alignment vertical="top" wrapText="1"/>
    </xf>
    <xf numFmtId="0" fontId="23" fillId="33" borderId="15" xfId="0" applyFont="1" applyFill="1" applyBorder="1" applyAlignment="1">
      <alignment vertical="top" wrapText="1"/>
    </xf>
    <xf numFmtId="164" fontId="23" fillId="33" borderId="14" xfId="0" applyNumberFormat="1" applyFont="1" applyFill="1" applyBorder="1" applyAlignment="1">
      <alignment vertical="top" wrapText="1"/>
    </xf>
    <xf numFmtId="10" fontId="23" fillId="33" borderId="10" xfId="0" applyNumberFormat="1" applyFont="1" applyFill="1" applyBorder="1" applyAlignment="1">
      <alignment horizontal="right" vertical="top" wrapText="1"/>
    </xf>
    <xf numFmtId="0" fontId="23" fillId="33" borderId="11" xfId="0" applyFont="1" applyFill="1" applyBorder="1" applyAlignment="1">
      <alignment horizontal="right" vertical="top" wrapText="1"/>
    </xf>
    <xf numFmtId="10" fontId="23" fillId="33" borderId="14" xfId="0" applyNumberFormat="1" applyFont="1" applyFill="1" applyBorder="1" applyAlignment="1">
      <alignment horizontal="right" vertical="top" wrapText="1"/>
    </xf>
    <xf numFmtId="0" fontId="23" fillId="33" borderId="15" xfId="0" applyFont="1" applyFill="1" applyBorder="1" applyAlignment="1">
      <alignment horizontal="right" vertical="top" wrapText="1"/>
    </xf>
    <xf numFmtId="164" fontId="23" fillId="33" borderId="14" xfId="0" applyNumberFormat="1" applyFont="1" applyFill="1" applyBorder="1" applyAlignment="1">
      <alignment horizontal="right" vertical="top" wrapText="1"/>
    </xf>
    <xf numFmtId="164" fontId="22" fillId="33" borderId="0" xfId="0" applyNumberFormat="1" applyFont="1" applyFill="1" applyAlignment="1">
      <alignment horizontal="right"/>
    </xf>
    <xf numFmtId="0" fontId="22" fillId="33" borderId="0" xfId="0" applyFont="1" applyFill="1" applyAlignment="1">
      <alignment horizontal="right"/>
    </xf>
    <xf numFmtId="2" fontId="0" fillId="33" borderId="0" xfId="0" applyNumberFormat="1" applyFill="1" applyAlignment="1"/>
    <xf numFmtId="10" fontId="0" fillId="33" borderId="0" xfId="0" applyNumberFormat="1" applyFont="1" applyFill="1"/>
    <xf numFmtId="10" fontId="18" fillId="33" borderId="10" xfId="0" applyNumberFormat="1" applyFont="1" applyFill="1" applyBorder="1" applyAlignment="1">
      <alignment horizontal="right" vertical="top" wrapText="1"/>
    </xf>
    <xf numFmtId="0" fontId="18" fillId="33" borderId="11" xfId="0" applyFont="1" applyFill="1" applyBorder="1" applyAlignment="1">
      <alignment horizontal="right" vertical="top" wrapText="1"/>
    </xf>
    <xf numFmtId="10" fontId="18" fillId="33" borderId="14" xfId="0" applyNumberFormat="1" applyFont="1" applyFill="1" applyBorder="1" applyAlignment="1">
      <alignment horizontal="right" vertical="top" wrapText="1"/>
    </xf>
    <xf numFmtId="0" fontId="18" fillId="33" borderId="15" xfId="0" applyFont="1" applyFill="1" applyBorder="1" applyAlignment="1">
      <alignment horizontal="right" vertical="top" wrapText="1"/>
    </xf>
    <xf numFmtId="164" fontId="18" fillId="33" borderId="14" xfId="0" applyNumberFormat="1" applyFont="1" applyFill="1" applyBorder="1" applyAlignment="1">
      <alignment horizontal="right" vertical="top" wrapText="1"/>
    </xf>
    <xf numFmtId="164" fontId="0" fillId="33" borderId="0" xfId="0" applyNumberFormat="1" applyFont="1" applyFill="1" applyAlignment="1">
      <alignment horizontal="right"/>
    </xf>
    <xf numFmtId="0" fontId="0" fillId="33" borderId="0" xfId="0" applyFont="1" applyFill="1" applyAlignment="1">
      <alignment horizontal="right"/>
    </xf>
    <xf numFmtId="164" fontId="18" fillId="33" borderId="0" xfId="0" applyNumberFormat="1" applyFont="1" applyFill="1" applyBorder="1" applyAlignment="1">
      <alignment horizontal="right" vertical="top" wrapText="1"/>
    </xf>
    <xf numFmtId="10" fontId="18" fillId="33" borderId="12" xfId="0" applyNumberFormat="1" applyFont="1" applyFill="1" applyBorder="1" applyAlignment="1">
      <alignment horizontal="right" vertical="top" wrapText="1"/>
    </xf>
    <xf numFmtId="0" fontId="18" fillId="33" borderId="13" xfId="0" applyFont="1" applyFill="1" applyBorder="1" applyAlignment="1">
      <alignment horizontal="right" vertical="top" wrapText="1"/>
    </xf>
    <xf numFmtId="10" fontId="18" fillId="33" borderId="16" xfId="0" applyNumberFormat="1" applyFont="1" applyFill="1" applyBorder="1" applyAlignment="1">
      <alignment horizontal="right" vertical="top" wrapText="1"/>
    </xf>
    <xf numFmtId="0" fontId="18" fillId="33" borderId="17" xfId="0" applyFont="1" applyFill="1" applyBorder="1" applyAlignment="1">
      <alignment horizontal="right" vertical="top" wrapText="1"/>
    </xf>
    <xf numFmtId="164" fontId="18" fillId="33" borderId="16" xfId="0" applyNumberFormat="1" applyFont="1" applyFill="1" applyBorder="1" applyAlignment="1">
      <alignment horizontal="right" vertical="top" wrapText="1"/>
    </xf>
    <xf numFmtId="10" fontId="0" fillId="33" borderId="0" xfId="0" applyNumberFormat="1" applyFill="1"/>
    <xf numFmtId="0" fontId="0" fillId="33" borderId="0" xfId="0" applyFill="1" applyAlignment="1"/>
    <xf numFmtId="0" fontId="18" fillId="33" borderId="0" xfId="0" applyFont="1" applyFill="1" applyBorder="1" applyAlignment="1">
      <alignment vertical="top" wrapText="1"/>
    </xf>
    <xf numFmtId="0" fontId="23" fillId="33" borderId="0" xfId="0" applyFont="1" applyFill="1" applyBorder="1" applyAlignment="1">
      <alignment vertical="top" wrapText="1"/>
    </xf>
    <xf numFmtId="10" fontId="23" fillId="33" borderId="30" xfId="0" applyNumberFormat="1" applyFont="1" applyFill="1" applyBorder="1" applyAlignment="1">
      <alignment vertical="top" wrapText="1"/>
    </xf>
    <xf numFmtId="0" fontId="23" fillId="33" borderId="31" xfId="0" applyFont="1" applyFill="1" applyBorder="1" applyAlignment="1">
      <alignment vertical="top" wrapText="1"/>
    </xf>
    <xf numFmtId="10" fontId="18" fillId="33" borderId="32" xfId="0" applyNumberFormat="1" applyFont="1" applyFill="1" applyBorder="1" applyAlignment="1">
      <alignment vertical="top" wrapText="1"/>
    </xf>
    <xf numFmtId="0" fontId="18" fillId="33" borderId="33" xfId="0" applyFont="1" applyFill="1" applyBorder="1" applyAlignment="1">
      <alignment vertical="top" wrapText="1"/>
    </xf>
    <xf numFmtId="164" fontId="18" fillId="33" borderId="32" xfId="0" applyNumberFormat="1" applyFont="1" applyFill="1" applyBorder="1" applyAlignment="1">
      <alignment vertical="top" wrapText="1"/>
    </xf>
    <xf numFmtId="10" fontId="18" fillId="33" borderId="30" xfId="0" applyNumberFormat="1" applyFont="1" applyFill="1" applyBorder="1" applyAlignment="1">
      <alignment vertical="top" wrapText="1"/>
    </xf>
    <xf numFmtId="0" fontId="18" fillId="33" borderId="31" xfId="0" applyFont="1" applyFill="1" applyBorder="1" applyAlignment="1">
      <alignment vertical="top" wrapText="1"/>
    </xf>
    <xf numFmtId="0" fontId="0" fillId="33" borderId="24" xfId="0" applyFill="1" applyBorder="1"/>
    <xf numFmtId="164" fontId="0" fillId="33" borderId="0" xfId="0" applyNumberFormat="1" applyFont="1" applyFill="1" applyBorder="1"/>
    <xf numFmtId="0" fontId="0" fillId="33" borderId="24" xfId="0" applyFont="1" applyFill="1" applyBorder="1"/>
    <xf numFmtId="0" fontId="18" fillId="33" borderId="34" xfId="0" applyFont="1" applyFill="1" applyBorder="1" applyAlignment="1">
      <alignment vertical="top" wrapText="1"/>
    </xf>
    <xf numFmtId="0" fontId="23" fillId="33" borderId="34" xfId="0" applyFont="1" applyFill="1" applyBorder="1" applyAlignment="1">
      <alignment vertical="top" wrapText="1"/>
    </xf>
    <xf numFmtId="0" fontId="0" fillId="33" borderId="25" xfId="0" applyFill="1" applyBorder="1" applyAlignment="1">
      <alignment vertical="top" wrapText="1"/>
    </xf>
    <xf numFmtId="10" fontId="18" fillId="33" borderId="35" xfId="0" applyNumberFormat="1" applyFont="1" applyFill="1" applyBorder="1" applyAlignment="1">
      <alignment vertical="top" wrapText="1"/>
    </xf>
    <xf numFmtId="0" fontId="18" fillId="33" borderId="36" xfId="0" applyFont="1" applyFill="1" applyBorder="1" applyAlignment="1">
      <alignment vertical="top" wrapText="1"/>
    </xf>
    <xf numFmtId="164" fontId="18" fillId="33" borderId="35" xfId="0" applyNumberFormat="1" applyFont="1" applyFill="1" applyBorder="1" applyAlignment="1">
      <alignment vertical="top" wrapText="1"/>
    </xf>
    <xf numFmtId="164" fontId="0" fillId="33" borderId="18" xfId="0" applyNumberFormat="1" applyFont="1" applyFill="1" applyBorder="1"/>
    <xf numFmtId="0" fontId="0" fillId="33" borderId="26" xfId="0" applyFont="1" applyFill="1" applyBorder="1"/>
    <xf numFmtId="0" fontId="20" fillId="33" borderId="0" xfId="0" applyFont="1" applyFill="1" applyAlignment="1"/>
    <xf numFmtId="10" fontId="19" fillId="33" borderId="10" xfId="0" applyNumberFormat="1" applyFont="1" applyFill="1" applyBorder="1" applyAlignment="1">
      <alignment horizontal="right" vertical="top" wrapText="1"/>
    </xf>
    <xf numFmtId="0" fontId="19" fillId="33" borderId="11" xfId="0" applyFont="1" applyFill="1" applyBorder="1" applyAlignment="1">
      <alignment horizontal="right" vertical="top" wrapText="1"/>
    </xf>
    <xf numFmtId="10" fontId="19" fillId="33" borderId="14" xfId="0" applyNumberFormat="1" applyFont="1" applyFill="1" applyBorder="1" applyAlignment="1">
      <alignment horizontal="right" vertical="top" wrapText="1"/>
    </xf>
    <xf numFmtId="0" fontId="19" fillId="33" borderId="15" xfId="0" applyFont="1" applyFill="1" applyBorder="1" applyAlignment="1">
      <alignment horizontal="right" vertical="top" wrapText="1"/>
    </xf>
    <xf numFmtId="164" fontId="19" fillId="33" borderId="14" xfId="0" applyNumberFormat="1" applyFont="1" applyFill="1" applyBorder="1" applyAlignment="1">
      <alignment horizontal="right" vertical="top" wrapText="1"/>
    </xf>
    <xf numFmtId="164" fontId="20" fillId="33" borderId="0" xfId="0" applyNumberFormat="1" applyFont="1" applyFill="1" applyAlignment="1">
      <alignment horizontal="right"/>
    </xf>
    <xf numFmtId="0" fontId="20" fillId="33" borderId="0" xfId="0" applyFont="1" applyFill="1" applyAlignment="1">
      <alignment horizontal="right"/>
    </xf>
    <xf numFmtId="10" fontId="19" fillId="33" borderId="30" xfId="0" applyNumberFormat="1" applyFont="1" applyFill="1" applyBorder="1" applyAlignment="1">
      <alignment vertical="top" wrapText="1"/>
    </xf>
    <xf numFmtId="0" fontId="19" fillId="33" borderId="31" xfId="0" applyFont="1" applyFill="1" applyBorder="1" applyAlignment="1">
      <alignment vertical="top" wrapText="1"/>
    </xf>
    <xf numFmtId="10" fontId="19" fillId="33" borderId="32" xfId="0" applyNumberFormat="1" applyFont="1" applyFill="1" applyBorder="1" applyAlignment="1">
      <alignment vertical="top" wrapText="1"/>
    </xf>
    <xf numFmtId="0" fontId="19" fillId="33" borderId="33" xfId="0" applyFont="1" applyFill="1" applyBorder="1" applyAlignment="1">
      <alignment vertical="top" wrapText="1"/>
    </xf>
    <xf numFmtId="164" fontId="19" fillId="33" borderId="32" xfId="0" applyNumberFormat="1" applyFont="1" applyFill="1" applyBorder="1" applyAlignment="1">
      <alignment vertical="top" wrapText="1"/>
    </xf>
    <xf numFmtId="10" fontId="19" fillId="33" borderId="12" xfId="0" applyNumberFormat="1" applyFont="1" applyFill="1" applyBorder="1" applyAlignment="1">
      <alignment horizontal="right" vertical="top" wrapText="1"/>
    </xf>
    <xf numFmtId="0" fontId="19" fillId="33" borderId="13" xfId="0" applyFont="1" applyFill="1" applyBorder="1" applyAlignment="1">
      <alignment horizontal="right" vertical="top" wrapText="1"/>
    </xf>
    <xf numFmtId="10" fontId="19" fillId="33" borderId="16" xfId="0" applyNumberFormat="1" applyFont="1" applyFill="1" applyBorder="1" applyAlignment="1">
      <alignment horizontal="right" vertical="top" wrapText="1"/>
    </xf>
    <xf numFmtId="0" fontId="19" fillId="33" borderId="17" xfId="0" applyFont="1" applyFill="1" applyBorder="1" applyAlignment="1">
      <alignment horizontal="right" vertical="top" wrapText="1"/>
    </xf>
    <xf numFmtId="164" fontId="19" fillId="33" borderId="16" xfId="0" applyNumberFormat="1" applyFont="1" applyFill="1" applyBorder="1" applyAlignment="1">
      <alignment horizontal="right" vertical="top" wrapText="1"/>
    </xf>
    <xf numFmtId="10" fontId="19" fillId="33" borderId="16" xfId="0" applyNumberFormat="1" applyFont="1" applyFill="1" applyBorder="1" applyAlignment="1">
      <alignment vertical="top" wrapText="1"/>
    </xf>
    <xf numFmtId="0" fontId="19" fillId="33" borderId="17" xfId="0" applyFont="1" applyFill="1" applyBorder="1" applyAlignment="1">
      <alignment vertical="top" wrapText="1"/>
    </xf>
    <xf numFmtId="164" fontId="19" fillId="33" borderId="16" xfId="0" applyNumberFormat="1" applyFont="1" applyFill="1" applyBorder="1" applyAlignment="1">
      <alignment vertical="top" wrapText="1"/>
    </xf>
    <xf numFmtId="164" fontId="19" fillId="33" borderId="0" xfId="0" applyNumberFormat="1" applyFont="1" applyFill="1" applyBorder="1" applyAlignment="1">
      <alignment horizontal="right" vertical="top" wrapText="1"/>
    </xf>
    <xf numFmtId="164" fontId="18" fillId="34" borderId="24" xfId="0" applyNumberFormat="1" applyFont="1" applyFill="1" applyBorder="1" applyAlignment="1">
      <alignment vertical="top" wrapText="1"/>
    </xf>
    <xf numFmtId="164" fontId="18" fillId="34" borderId="26" xfId="0" applyNumberFormat="1" applyFont="1" applyFill="1" applyBorder="1" applyAlignment="1">
      <alignment vertical="top" wrapText="1"/>
    </xf>
    <xf numFmtId="10" fontId="18" fillId="34" borderId="27" xfId="0" applyNumberFormat="1" applyFont="1" applyFill="1" applyBorder="1" applyAlignment="1">
      <alignment vertical="top" wrapText="1"/>
    </xf>
    <xf numFmtId="10" fontId="18" fillId="34" borderId="0" xfId="0" applyNumberFormat="1" applyFont="1" applyFill="1" applyBorder="1" applyAlignment="1">
      <alignment vertical="top" wrapText="1"/>
    </xf>
    <xf numFmtId="10" fontId="0" fillId="34" borderId="0" xfId="0" applyNumberFormat="1" applyFill="1" applyBorder="1"/>
    <xf numFmtId="10" fontId="18" fillId="34" borderId="28" xfId="0" applyNumberFormat="1" applyFont="1" applyFill="1" applyBorder="1" applyAlignment="1">
      <alignment vertical="top" wrapText="1"/>
    </xf>
    <xf numFmtId="10" fontId="21" fillId="33" borderId="20" xfId="0" applyNumberFormat="1" applyFont="1" applyFill="1" applyBorder="1" applyAlignment="1">
      <alignment horizontal="center" vertical="top" wrapText="1"/>
    </xf>
    <xf numFmtId="10" fontId="21" fillId="33" borderId="19" xfId="0" applyNumberFormat="1" applyFont="1" applyFill="1" applyBorder="1" applyAlignment="1">
      <alignment horizontal="center" vertical="top" wrapText="1"/>
    </xf>
    <xf numFmtId="10" fontId="21" fillId="33" borderId="21" xfId="0" applyNumberFormat="1" applyFont="1" applyFill="1" applyBorder="1" applyAlignment="1">
      <alignment horizontal="center" vertical="top" wrapText="1"/>
    </xf>
    <xf numFmtId="164" fontId="18" fillId="34" borderId="27" xfId="0" applyNumberFormat="1" applyFont="1" applyFill="1" applyBorder="1" applyAlignment="1">
      <alignment vertical="top" wrapText="1"/>
    </xf>
    <xf numFmtId="164" fontId="18" fillId="34" borderId="28" xfId="0" applyNumberFormat="1" applyFont="1" applyFill="1" applyBorder="1" applyAlignment="1">
      <alignment vertical="top" wrapText="1"/>
    </xf>
    <xf numFmtId="10" fontId="18" fillId="34" borderId="18" xfId="0" applyNumberFormat="1" applyFont="1" applyFill="1" applyBorder="1" applyAlignment="1">
      <alignment vertical="top" wrapText="1"/>
    </xf>
    <xf numFmtId="10" fontId="18" fillId="34" borderId="29" xfId="0" applyNumberFormat="1" applyFont="1" applyFill="1" applyBorder="1" applyAlignment="1">
      <alignment vertical="top" wrapText="1"/>
    </xf>
    <xf numFmtId="164" fontId="18" fillId="34" borderId="0" xfId="0" applyNumberFormat="1" applyFont="1" applyFill="1" applyBorder="1" applyAlignment="1">
      <alignment vertical="top" wrapText="1"/>
    </xf>
    <xf numFmtId="164" fontId="18" fillId="34" borderId="18" xfId="0" applyNumberFormat="1" applyFont="1" applyFill="1" applyBorder="1" applyAlignment="1">
      <alignment vertical="top" wrapText="1"/>
    </xf>
    <xf numFmtId="10" fontId="18" fillId="34" borderId="23" xfId="0" applyNumberFormat="1" applyFont="1" applyFill="1" applyBorder="1" applyAlignment="1">
      <alignment vertical="top" wrapText="1"/>
    </xf>
    <xf numFmtId="10" fontId="18" fillId="34" borderId="25" xfId="0" applyNumberFormat="1" applyFont="1" applyFill="1" applyBorder="1" applyAlignment="1">
      <alignment vertical="top" wrapText="1"/>
    </xf>
    <xf numFmtId="0" fontId="0" fillId="33" borderId="20" xfId="0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164" fontId="0" fillId="33" borderId="19" xfId="0" applyNumberFormat="1" applyFill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0" fontId="0" fillId="33" borderId="19" xfId="0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0" fillId="33" borderId="19" xfId="0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33" borderId="21" xfId="0" applyFill="1" applyBorder="1" applyAlignment="1">
      <alignment horizontal="center"/>
    </xf>
    <xf numFmtId="0" fontId="0" fillId="33" borderId="22" xfId="0" applyFill="1" applyBorder="1" applyAlignment="1">
      <alignment horizontal="center"/>
    </xf>
    <xf numFmtId="0" fontId="0" fillId="33" borderId="19" xfId="0" applyFill="1" applyBorder="1" applyAlignment="1">
      <alignment horizontal="center"/>
    </xf>
    <xf numFmtId="10" fontId="0" fillId="33" borderId="19" xfId="0" applyNumberFormat="1" applyFill="1" applyBorder="1" applyAlignment="1">
      <alignment horizontal="center"/>
    </xf>
    <xf numFmtId="164" fontId="20" fillId="33" borderId="0" xfId="0" applyNumberFormat="1" applyFont="1" applyFill="1" applyBorder="1"/>
    <xf numFmtId="0" fontId="20" fillId="33" borderId="24" xfId="0" applyFont="1" applyFill="1" applyBorder="1"/>
    <xf numFmtId="164" fontId="16" fillId="33" borderId="0" xfId="0" applyNumberFormat="1" applyFont="1" applyFill="1" applyBorder="1"/>
    <xf numFmtId="0" fontId="16" fillId="33" borderId="24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"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fgColor indexed="64"/>
          <bgColor rgb="FFFCFF00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'improve_on_ADLown raw'!$AD$61</c:f>
              <c:strCache>
                <c:ptCount val="1"/>
                <c:pt idx="0">
                  <c:v>ADL-own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'improve_on_ADLown raw'!$AC$62:$AC$76</c:f>
              <c:strCache>
                <c:ptCount val="15"/>
                <c:pt idx="0">
                  <c:v>Beer</c:v>
                </c:pt>
                <c:pt idx="1">
                  <c:v>Carbonated beverages</c:v>
                </c:pt>
                <c:pt idx="2">
                  <c:v>Coffee</c:v>
                </c:pt>
                <c:pt idx="3">
                  <c:v>Frozen pizza</c:v>
                </c:pt>
                <c:pt idx="4">
                  <c:v>Household cleaner</c:v>
                </c:pt>
                <c:pt idx="5">
                  <c:v>Hotdog</c:v>
                </c:pt>
                <c:pt idx="6">
                  <c:v>Laundry detergent</c:v>
                </c:pt>
                <c:pt idx="7">
                  <c:v>Margarine/Butter</c:v>
                </c:pt>
                <c:pt idx="8">
                  <c:v>Mayonnaise</c:v>
                </c:pt>
                <c:pt idx="9">
                  <c:v>Mustard &amp; ketchup</c:v>
                </c:pt>
                <c:pt idx="10">
                  <c:v>Peanut butter</c:v>
                </c:pt>
                <c:pt idx="11">
                  <c:v>Salty snacks</c:v>
                </c:pt>
                <c:pt idx="12">
                  <c:v>Soup</c:v>
                </c:pt>
                <c:pt idx="13">
                  <c:v>Sugar substitutes</c:v>
                </c:pt>
                <c:pt idx="14">
                  <c:v>Toothpaste</c:v>
                </c:pt>
              </c:strCache>
            </c:strRef>
          </c:cat>
          <c:val>
            <c:numRef>
              <c:f>'improve_on_ADLown raw'!$AD$62:$AD$76</c:f>
              <c:numCache>
                <c:formatCode>0.00%</c:formatCode>
                <c:ptCount val="15"/>
                <c:pt idx="0">
                  <c:v>-1.9420169232903487E-3</c:v>
                </c:pt>
                <c:pt idx="1">
                  <c:v>-7.1835304424003613E-2</c:v>
                </c:pt>
                <c:pt idx="2">
                  <c:v>-8.9188670801100146E-3</c:v>
                </c:pt>
                <c:pt idx="3">
                  <c:v>-7.8207764691219928E-3</c:v>
                </c:pt>
                <c:pt idx="4">
                  <c:v>-1.3981966613866328E-2</c:v>
                </c:pt>
                <c:pt idx="5">
                  <c:v>8.8787357810696781E-3</c:v>
                </c:pt>
                <c:pt idx="6">
                  <c:v>-6.8568587004567527E-2</c:v>
                </c:pt>
                <c:pt idx="7">
                  <c:v>-1.00035887313835E-2</c:v>
                </c:pt>
                <c:pt idx="8">
                  <c:v>2.2328782166257896E-3</c:v>
                </c:pt>
                <c:pt idx="9">
                  <c:v>5.5989133119288777E-2</c:v>
                </c:pt>
                <c:pt idx="10">
                  <c:v>1.6523416109140262E-2</c:v>
                </c:pt>
                <c:pt idx="11">
                  <c:v>-0.11579653812812842</c:v>
                </c:pt>
                <c:pt idx="12">
                  <c:v>4.2754678919645843E-2</c:v>
                </c:pt>
                <c:pt idx="13">
                  <c:v>-4.8757283862528155E-3</c:v>
                </c:pt>
                <c:pt idx="14">
                  <c:v>-2.8580084831347195E-2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9F-4DFC-81D0-27EC5AEE837C}"/>
            </c:ext>
          </c:extLst>
        </c:ser>
        <c:ser>
          <c:idx val="1"/>
          <c:order val="1"/>
          <c:tx>
            <c:strRef>
              <c:f>'improve_on_ADLown raw'!$AE$61</c:f>
              <c:strCache>
                <c:ptCount val="1"/>
                <c:pt idx="0">
                  <c:v>ADL-own-EWC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'improve_on_ADLown raw'!$AC$62:$AC$76</c:f>
              <c:strCache>
                <c:ptCount val="15"/>
                <c:pt idx="0">
                  <c:v>Beer</c:v>
                </c:pt>
                <c:pt idx="1">
                  <c:v>Carbonated beverages</c:v>
                </c:pt>
                <c:pt idx="2">
                  <c:v>Coffee</c:v>
                </c:pt>
                <c:pt idx="3">
                  <c:v>Frozen pizza</c:v>
                </c:pt>
                <c:pt idx="4">
                  <c:v>Household cleaner</c:v>
                </c:pt>
                <c:pt idx="5">
                  <c:v>Hotdog</c:v>
                </c:pt>
                <c:pt idx="6">
                  <c:v>Laundry detergent</c:v>
                </c:pt>
                <c:pt idx="7">
                  <c:v>Margarine/Butter</c:v>
                </c:pt>
                <c:pt idx="8">
                  <c:v>Mayonnaise</c:v>
                </c:pt>
                <c:pt idx="9">
                  <c:v>Mustard &amp; ketchup</c:v>
                </c:pt>
                <c:pt idx="10">
                  <c:v>Peanut butter</c:v>
                </c:pt>
                <c:pt idx="11">
                  <c:v>Salty snacks</c:v>
                </c:pt>
                <c:pt idx="12">
                  <c:v>Soup</c:v>
                </c:pt>
                <c:pt idx="13">
                  <c:v>Sugar substitutes</c:v>
                </c:pt>
                <c:pt idx="14">
                  <c:v>Toothpaste</c:v>
                </c:pt>
              </c:strCache>
            </c:strRef>
          </c:cat>
          <c:val>
            <c:numRef>
              <c:f>'improve_on_ADLown raw'!$AE$62:$AE$76</c:f>
              <c:numCache>
                <c:formatCode>0.00%</c:formatCode>
                <c:ptCount val="15"/>
                <c:pt idx="0">
                  <c:v>-4.8596661580431834E-2</c:v>
                </c:pt>
                <c:pt idx="1">
                  <c:v>9.7738223230995819E-2</c:v>
                </c:pt>
                <c:pt idx="2">
                  <c:v>-3.765743878268657E-2</c:v>
                </c:pt>
                <c:pt idx="3">
                  <c:v>-3.0971521156602493E-2</c:v>
                </c:pt>
                <c:pt idx="4">
                  <c:v>-8.2246862434504834E-4</c:v>
                </c:pt>
                <c:pt idx="5">
                  <c:v>5.002237347212745E-2</c:v>
                </c:pt>
                <c:pt idx="6">
                  <c:v>-0.16382422277884184</c:v>
                </c:pt>
                <c:pt idx="7">
                  <c:v>-6.2309348645253962E-2</c:v>
                </c:pt>
                <c:pt idx="8">
                  <c:v>-6.2410776382737329E-2</c:v>
                </c:pt>
                <c:pt idx="9">
                  <c:v>-0.11190417387009129</c:v>
                </c:pt>
                <c:pt idx="10">
                  <c:v>-9.3735863431823094E-2</c:v>
                </c:pt>
                <c:pt idx="11">
                  <c:v>-0.18025223008305127</c:v>
                </c:pt>
                <c:pt idx="12">
                  <c:v>-4.8330158018603575E-2</c:v>
                </c:pt>
                <c:pt idx="13">
                  <c:v>1.0464977999762195E-2</c:v>
                </c:pt>
                <c:pt idx="14">
                  <c:v>-4.6273480105029262E-2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9F-4DFC-81D0-27EC5AEE8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1650136"/>
        <c:axId val="441648168"/>
      </c:barChart>
      <c:catAx>
        <c:axId val="441650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648168"/>
        <c:crosses val="autoZero"/>
        <c:auto val="1"/>
        <c:lblAlgn val="ctr"/>
        <c:lblOffset val="100"/>
        <c:noMultiLvlLbl val="0"/>
      </c:catAx>
      <c:valAx>
        <c:axId val="441648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65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571498</xdr:colOff>
      <xdr:row>77</xdr:row>
      <xdr:rowOff>162983</xdr:rowOff>
    </xdr:from>
    <xdr:to>
      <xdr:col>41</xdr:col>
      <xdr:colOff>264582</xdr:colOff>
      <xdr:row>98</xdr:row>
      <xdr:rowOff>84666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4:AL48"/>
  <sheetViews>
    <sheetView tabSelected="1" zoomScale="85" zoomScaleNormal="85" workbookViewId="0">
      <selection activeCell="J48" sqref="J48"/>
    </sheetView>
  </sheetViews>
  <sheetFormatPr defaultColWidth="9.125" defaultRowHeight="13.5" customHeight="1" x14ac:dyDescent="0.25"/>
  <cols>
    <col min="1" max="1" width="9.125" style="52"/>
    <col min="2" max="2" width="17.375" style="52" customWidth="1"/>
    <col min="3" max="3" width="13" style="52" customWidth="1"/>
    <col min="4" max="12" width="9.125" style="52"/>
    <col min="13" max="13" width="17.125" style="52" customWidth="1"/>
    <col min="14" max="16384" width="9.125" style="52"/>
  </cols>
  <sheetData>
    <row r="4" spans="2:21" ht="13.5" customHeight="1" x14ac:dyDescent="0.25">
      <c r="C4" s="87"/>
      <c r="D4" s="87"/>
      <c r="E4" s="87"/>
      <c r="F4" s="87"/>
    </row>
    <row r="5" spans="2:21" ht="13.5" customHeight="1" x14ac:dyDescent="0.25">
      <c r="E5" s="52" t="s">
        <v>0</v>
      </c>
      <c r="P5" s="52" t="s">
        <v>18</v>
      </c>
    </row>
    <row r="6" spans="2:21" ht="13.5" customHeight="1" x14ac:dyDescent="0.25">
      <c r="B6" s="163" t="s">
        <v>12</v>
      </c>
      <c r="C6" s="164"/>
      <c r="D6" s="164"/>
      <c r="E6" s="164"/>
      <c r="F6" s="164"/>
      <c r="G6" s="164"/>
      <c r="H6" s="164"/>
      <c r="I6" s="164"/>
      <c r="J6" s="165"/>
      <c r="K6" s="103"/>
      <c r="L6" s="103"/>
      <c r="M6" s="163" t="s">
        <v>12</v>
      </c>
      <c r="N6" s="164"/>
      <c r="O6" s="164"/>
      <c r="P6" s="164"/>
      <c r="Q6" s="164"/>
      <c r="R6" s="164"/>
      <c r="S6" s="164"/>
      <c r="T6" s="164"/>
      <c r="U6" s="165"/>
    </row>
    <row r="7" spans="2:21" ht="13.5" customHeight="1" x14ac:dyDescent="0.25">
      <c r="B7" s="57"/>
      <c r="C7" s="4" t="s">
        <v>10</v>
      </c>
      <c r="D7" s="4" t="s">
        <v>19</v>
      </c>
      <c r="E7" s="4" t="s">
        <v>11</v>
      </c>
      <c r="F7" s="4" t="s">
        <v>19</v>
      </c>
      <c r="G7" s="4" t="s">
        <v>1</v>
      </c>
      <c r="H7" s="4" t="s">
        <v>19</v>
      </c>
      <c r="I7" s="4" t="s">
        <v>2</v>
      </c>
      <c r="J7" s="113" t="s">
        <v>19</v>
      </c>
      <c r="N7" s="52" t="s">
        <v>10</v>
      </c>
      <c r="O7" s="52" t="s">
        <v>19</v>
      </c>
      <c r="P7" s="52" t="s">
        <v>11</v>
      </c>
      <c r="Q7" s="52" t="s">
        <v>19</v>
      </c>
      <c r="R7" s="52" t="s">
        <v>1</v>
      </c>
      <c r="S7" s="52" t="s">
        <v>19</v>
      </c>
      <c r="T7" s="52" t="s">
        <v>2</v>
      </c>
      <c r="U7" s="52" t="s">
        <v>19</v>
      </c>
    </row>
    <row r="8" spans="2:21" ht="13.5" customHeight="1" x14ac:dyDescent="0.25">
      <c r="B8" s="57" t="s">
        <v>4</v>
      </c>
      <c r="C8" s="66">
        <v>0.39596999999999999</v>
      </c>
      <c r="D8" s="67">
        <v>7</v>
      </c>
      <c r="E8" s="68">
        <v>0.37575999999999998</v>
      </c>
      <c r="F8" s="69">
        <v>10</v>
      </c>
      <c r="G8" s="70">
        <v>0.39596999999999999</v>
      </c>
      <c r="H8" s="69">
        <v>7</v>
      </c>
      <c r="I8" s="176">
        <v>1</v>
      </c>
      <c r="J8" s="177">
        <v>6</v>
      </c>
      <c r="K8" s="74"/>
      <c r="L8" s="74"/>
      <c r="M8" s="4" t="s">
        <v>4</v>
      </c>
      <c r="N8" s="89">
        <v>0.42795</v>
      </c>
      <c r="O8" s="90">
        <v>10</v>
      </c>
      <c r="P8" s="91">
        <v>0.38552999999999998</v>
      </c>
      <c r="Q8" s="92">
        <v>10</v>
      </c>
      <c r="R8" s="93">
        <v>0.79910000000000003</v>
      </c>
      <c r="S8" s="92">
        <v>10</v>
      </c>
      <c r="T8" s="94">
        <v>1</v>
      </c>
      <c r="U8" s="95">
        <v>10</v>
      </c>
    </row>
    <row r="9" spans="2:21" ht="13.5" customHeight="1" x14ac:dyDescent="0.25">
      <c r="B9" s="57" t="s">
        <v>31</v>
      </c>
      <c r="C9" s="66">
        <v>0.4224</v>
      </c>
      <c r="D9" s="67">
        <v>10</v>
      </c>
      <c r="E9" s="68">
        <v>0.36649999999999999</v>
      </c>
      <c r="F9" s="69">
        <v>9</v>
      </c>
      <c r="G9" s="70">
        <v>0.4224</v>
      </c>
      <c r="H9" s="69">
        <v>10</v>
      </c>
      <c r="I9" s="114">
        <v>1.0767800000000001</v>
      </c>
      <c r="J9" s="115">
        <v>9</v>
      </c>
      <c r="K9" s="65"/>
      <c r="L9" s="65"/>
      <c r="M9" s="4" t="s">
        <v>31</v>
      </c>
      <c r="N9" s="89">
        <v>0.34340999999999999</v>
      </c>
      <c r="O9" s="90">
        <v>9</v>
      </c>
      <c r="P9" s="91">
        <v>0.30569000000000002</v>
      </c>
      <c r="Q9" s="92">
        <v>8</v>
      </c>
      <c r="R9" s="93">
        <v>0.66866000000000003</v>
      </c>
      <c r="S9" s="92">
        <v>8</v>
      </c>
      <c r="T9" s="94">
        <v>0.89880000000000004</v>
      </c>
      <c r="U9" s="95">
        <v>9</v>
      </c>
    </row>
    <row r="10" spans="2:21" ht="13.5" customHeight="1" x14ac:dyDescent="0.25">
      <c r="B10" s="57" t="s">
        <v>5</v>
      </c>
      <c r="C10" s="66">
        <v>0.38738</v>
      </c>
      <c r="D10" s="67">
        <v>6</v>
      </c>
      <c r="E10" s="68">
        <v>0.33484000000000003</v>
      </c>
      <c r="F10" s="69">
        <v>3</v>
      </c>
      <c r="G10" s="70">
        <v>0.38738</v>
      </c>
      <c r="H10" s="69">
        <v>6</v>
      </c>
      <c r="I10" s="114">
        <v>0.95291000000000003</v>
      </c>
      <c r="J10" s="115">
        <v>2</v>
      </c>
      <c r="K10" s="65"/>
      <c r="L10" s="65"/>
      <c r="M10" s="4" t="s">
        <v>5</v>
      </c>
      <c r="N10" s="89">
        <v>0.30880999999999997</v>
      </c>
      <c r="O10" s="90">
        <v>2</v>
      </c>
      <c r="P10" s="91">
        <v>0.29330000000000001</v>
      </c>
      <c r="Q10" s="92">
        <v>3</v>
      </c>
      <c r="R10" s="93">
        <v>0.64905000000000002</v>
      </c>
      <c r="S10" s="92">
        <v>4</v>
      </c>
      <c r="T10" s="94">
        <v>0.85570999999999997</v>
      </c>
      <c r="U10" s="95">
        <v>4</v>
      </c>
    </row>
    <row r="11" spans="2:21" ht="13.5" customHeight="1" x14ac:dyDescent="0.25">
      <c r="B11" s="58" t="s">
        <v>32</v>
      </c>
      <c r="C11" s="66">
        <v>0.41169</v>
      </c>
      <c r="D11" s="67">
        <v>9</v>
      </c>
      <c r="E11" s="68">
        <v>0.36001</v>
      </c>
      <c r="F11" s="69">
        <v>8</v>
      </c>
      <c r="G11" s="70">
        <v>0.41169</v>
      </c>
      <c r="H11" s="69">
        <v>9</v>
      </c>
      <c r="I11" s="114">
        <v>1.0956699999999999</v>
      </c>
      <c r="J11" s="115">
        <v>10</v>
      </c>
      <c r="K11" s="65"/>
      <c r="L11" s="65"/>
      <c r="M11" s="53" t="s">
        <v>32</v>
      </c>
      <c r="N11" s="89">
        <v>0.34231</v>
      </c>
      <c r="O11" s="90">
        <v>8</v>
      </c>
      <c r="P11" s="91">
        <v>0.30659999999999998</v>
      </c>
      <c r="Q11" s="92">
        <v>9</v>
      </c>
      <c r="R11" s="93">
        <v>0.67444000000000004</v>
      </c>
      <c r="S11" s="92">
        <v>9</v>
      </c>
      <c r="T11" s="94">
        <v>0.89344000000000001</v>
      </c>
      <c r="U11" s="95">
        <v>8</v>
      </c>
    </row>
    <row r="12" spans="2:21" ht="13.5" customHeight="1" x14ac:dyDescent="0.25">
      <c r="B12" s="58" t="s">
        <v>6</v>
      </c>
      <c r="C12" s="66">
        <v>0.39684999999999998</v>
      </c>
      <c r="D12" s="67">
        <v>8</v>
      </c>
      <c r="E12" s="68">
        <v>0.34623999999999999</v>
      </c>
      <c r="F12" s="69">
        <v>7</v>
      </c>
      <c r="G12" s="70">
        <v>0.39684999999999998</v>
      </c>
      <c r="H12" s="69">
        <v>8</v>
      </c>
      <c r="I12" s="114">
        <v>1.06911</v>
      </c>
      <c r="J12" s="115">
        <v>8</v>
      </c>
      <c r="K12" s="65"/>
      <c r="L12" s="65"/>
      <c r="M12" s="53" t="s">
        <v>6</v>
      </c>
      <c r="N12" s="89">
        <v>0.33452999999999999</v>
      </c>
      <c r="O12" s="90">
        <v>7</v>
      </c>
      <c r="P12" s="91">
        <v>0.29821999999999999</v>
      </c>
      <c r="Q12" s="92">
        <v>7</v>
      </c>
      <c r="R12" s="93">
        <v>0.65393000000000001</v>
      </c>
      <c r="S12" s="92">
        <v>6</v>
      </c>
      <c r="T12" s="94">
        <v>0.86763999999999997</v>
      </c>
      <c r="U12" s="95">
        <v>6</v>
      </c>
    </row>
    <row r="13" spans="2:21" ht="13.5" customHeight="1" x14ac:dyDescent="0.25">
      <c r="B13" s="58" t="s">
        <v>8</v>
      </c>
      <c r="C13" s="66">
        <v>0.37480000000000002</v>
      </c>
      <c r="D13" s="67">
        <v>5</v>
      </c>
      <c r="E13" s="68">
        <v>0.32633000000000001</v>
      </c>
      <c r="F13" s="69">
        <v>2</v>
      </c>
      <c r="G13" s="70">
        <v>0.37480000000000002</v>
      </c>
      <c r="H13" s="69">
        <v>5</v>
      </c>
      <c r="I13" s="70">
        <v>0.99873999999999996</v>
      </c>
      <c r="J13" s="116">
        <v>5</v>
      </c>
      <c r="K13" s="104"/>
      <c r="L13" s="104"/>
      <c r="M13" s="53" t="s">
        <v>8</v>
      </c>
      <c r="N13" s="80">
        <v>0.30074000000000001</v>
      </c>
      <c r="O13" s="81">
        <v>1</v>
      </c>
      <c r="P13" s="82">
        <v>0.28777999999999998</v>
      </c>
      <c r="Q13" s="83">
        <v>1</v>
      </c>
      <c r="R13" s="93">
        <v>0.64180999999999999</v>
      </c>
      <c r="S13" s="92">
        <v>2</v>
      </c>
      <c r="T13" s="84">
        <v>0.83426999999999996</v>
      </c>
      <c r="U13" s="83">
        <v>1</v>
      </c>
    </row>
    <row r="14" spans="2:21" ht="13.5" customHeight="1" x14ac:dyDescent="0.25">
      <c r="B14" s="58" t="s">
        <v>17</v>
      </c>
      <c r="C14" s="66">
        <v>0.37409999999999999</v>
      </c>
      <c r="D14" s="67">
        <v>4</v>
      </c>
      <c r="E14" s="77">
        <v>0.32574999999999998</v>
      </c>
      <c r="F14" s="78">
        <v>1</v>
      </c>
      <c r="G14" s="79">
        <v>0.37409999999999999</v>
      </c>
      <c r="H14" s="78">
        <v>4</v>
      </c>
      <c r="I14" s="178">
        <v>0.90598000000000001</v>
      </c>
      <c r="J14" s="179">
        <v>1</v>
      </c>
      <c r="K14" s="65"/>
      <c r="L14" s="65"/>
      <c r="M14" s="53" t="s">
        <v>17</v>
      </c>
      <c r="N14" s="89">
        <v>0.3095</v>
      </c>
      <c r="O14" s="90">
        <v>3</v>
      </c>
      <c r="P14" s="91">
        <v>0.29546</v>
      </c>
      <c r="Q14" s="92">
        <v>4</v>
      </c>
      <c r="R14" s="93">
        <v>0.66108</v>
      </c>
      <c r="S14" s="92">
        <v>7</v>
      </c>
      <c r="T14" s="94">
        <v>0.86838000000000004</v>
      </c>
      <c r="U14" s="95">
        <v>7</v>
      </c>
    </row>
    <row r="15" spans="2:21" ht="13.5" customHeight="1" x14ac:dyDescent="0.25">
      <c r="B15" s="58" t="s">
        <v>9</v>
      </c>
      <c r="C15" s="66">
        <v>0.36965999999999999</v>
      </c>
      <c r="D15" s="67">
        <v>3</v>
      </c>
      <c r="E15" s="68">
        <v>0.34533999999999998</v>
      </c>
      <c r="F15" s="69">
        <v>6</v>
      </c>
      <c r="G15" s="70">
        <v>0.36965999999999999</v>
      </c>
      <c r="H15" s="69">
        <v>3</v>
      </c>
      <c r="I15" s="114">
        <v>1.02498</v>
      </c>
      <c r="J15" s="115">
        <v>7</v>
      </c>
      <c r="K15" s="65"/>
      <c r="L15" s="65"/>
      <c r="M15" s="53" t="s">
        <v>9</v>
      </c>
      <c r="N15" s="89">
        <v>0.31935999999999998</v>
      </c>
      <c r="O15" s="90">
        <v>5</v>
      </c>
      <c r="P15" s="91">
        <v>0.29620999999999997</v>
      </c>
      <c r="Q15" s="92">
        <v>5</v>
      </c>
      <c r="R15" s="93">
        <v>0.64429000000000003</v>
      </c>
      <c r="S15" s="92">
        <v>3</v>
      </c>
      <c r="T15" s="94">
        <v>0.85809999999999997</v>
      </c>
      <c r="U15" s="95">
        <v>5</v>
      </c>
    </row>
    <row r="16" spans="2:21" ht="13.5" customHeight="1" x14ac:dyDescent="0.25">
      <c r="B16" s="58" t="s">
        <v>15</v>
      </c>
      <c r="C16" s="66">
        <v>0.35982999999999998</v>
      </c>
      <c r="D16" s="67">
        <v>2</v>
      </c>
      <c r="E16" s="68">
        <v>0.33529999999999999</v>
      </c>
      <c r="F16" s="69">
        <v>4</v>
      </c>
      <c r="G16" s="70">
        <v>0.35982999999999998</v>
      </c>
      <c r="H16" s="69">
        <v>2</v>
      </c>
      <c r="I16" s="114">
        <v>0.96086000000000005</v>
      </c>
      <c r="J16" s="115">
        <v>3</v>
      </c>
      <c r="K16" s="65"/>
      <c r="L16" s="65"/>
      <c r="M16" s="53" t="s">
        <v>15</v>
      </c>
      <c r="N16" s="89">
        <v>0.31580999999999998</v>
      </c>
      <c r="O16" s="90">
        <v>4</v>
      </c>
      <c r="P16" s="91">
        <v>0.29300999999999999</v>
      </c>
      <c r="Q16" s="92">
        <v>2</v>
      </c>
      <c r="R16" s="84">
        <v>0.63593</v>
      </c>
      <c r="S16" s="83">
        <v>1</v>
      </c>
      <c r="T16" s="94">
        <v>0.84840000000000004</v>
      </c>
      <c r="U16" s="95">
        <v>2</v>
      </c>
    </row>
    <row r="17" spans="2:38" ht="13.5" customHeight="1" thickBot="1" x14ac:dyDescent="0.3">
      <c r="B17" s="58" t="s">
        <v>16</v>
      </c>
      <c r="C17" s="106">
        <v>0.35819000000000001</v>
      </c>
      <c r="D17" s="107">
        <v>1</v>
      </c>
      <c r="E17" s="108">
        <v>0.33632000000000001</v>
      </c>
      <c r="F17" s="109">
        <v>5</v>
      </c>
      <c r="G17" s="110">
        <v>0.35819000000000001</v>
      </c>
      <c r="H17" s="109">
        <v>1</v>
      </c>
      <c r="I17" s="114">
        <v>0.98604000000000003</v>
      </c>
      <c r="J17" s="115">
        <v>4</v>
      </c>
      <c r="K17" s="65"/>
      <c r="L17" s="65"/>
      <c r="M17" s="53" t="s">
        <v>16</v>
      </c>
      <c r="N17" s="97">
        <v>0.32473000000000002</v>
      </c>
      <c r="O17" s="98">
        <v>6</v>
      </c>
      <c r="P17" s="99">
        <v>0.29731000000000002</v>
      </c>
      <c r="Q17" s="100">
        <v>6</v>
      </c>
      <c r="R17" s="101">
        <v>0.65356000000000003</v>
      </c>
      <c r="S17" s="100">
        <v>5</v>
      </c>
      <c r="T17" s="94">
        <v>0.85245000000000004</v>
      </c>
      <c r="U17" s="95">
        <v>3</v>
      </c>
    </row>
    <row r="18" spans="2:38" ht="13.5" customHeight="1" x14ac:dyDescent="0.25">
      <c r="B18" s="163" t="s">
        <v>13</v>
      </c>
      <c r="C18" s="164"/>
      <c r="D18" s="164"/>
      <c r="E18" s="164"/>
      <c r="F18" s="164"/>
      <c r="G18" s="164"/>
      <c r="H18" s="164"/>
      <c r="I18" s="164"/>
      <c r="J18" s="165"/>
      <c r="K18" s="103"/>
      <c r="L18" s="103"/>
      <c r="M18" s="163" t="s">
        <v>13</v>
      </c>
      <c r="N18" s="164"/>
      <c r="O18" s="164"/>
      <c r="P18" s="164"/>
      <c r="Q18" s="164"/>
      <c r="R18" s="164"/>
      <c r="S18" s="164"/>
      <c r="T18" s="164"/>
      <c r="U18" s="165"/>
    </row>
    <row r="19" spans="2:38" ht="13.5" customHeight="1" x14ac:dyDescent="0.25">
      <c r="B19" s="57"/>
      <c r="C19" s="4" t="s">
        <v>10</v>
      </c>
      <c r="D19" s="4" t="s">
        <v>19</v>
      </c>
      <c r="E19" s="4" t="s">
        <v>11</v>
      </c>
      <c r="F19" s="4" t="s">
        <v>19</v>
      </c>
      <c r="G19" s="4" t="s">
        <v>1</v>
      </c>
      <c r="H19" s="4" t="s">
        <v>19</v>
      </c>
      <c r="I19" s="4" t="s">
        <v>2</v>
      </c>
      <c r="J19" s="113" t="s">
        <v>19</v>
      </c>
      <c r="N19" s="52" t="s">
        <v>10</v>
      </c>
      <c r="O19" s="52" t="s">
        <v>19</v>
      </c>
      <c r="P19" s="52" t="s">
        <v>11</v>
      </c>
      <c r="Q19" s="52" t="s">
        <v>19</v>
      </c>
      <c r="R19" s="52" t="s">
        <v>1</v>
      </c>
      <c r="S19" s="52" t="s">
        <v>19</v>
      </c>
      <c r="T19" s="52" t="s">
        <v>2</v>
      </c>
      <c r="U19" s="52" t="s">
        <v>19</v>
      </c>
    </row>
    <row r="20" spans="2:38" ht="13.5" customHeight="1" x14ac:dyDescent="0.25">
      <c r="B20" s="57" t="s">
        <v>4</v>
      </c>
      <c r="C20" s="66">
        <v>0.41121999999999997</v>
      </c>
      <c r="D20" s="67">
        <v>10</v>
      </c>
      <c r="E20" s="68">
        <v>0.37983</v>
      </c>
      <c r="F20" s="69">
        <v>10</v>
      </c>
      <c r="G20" s="70">
        <v>0.77603999999999995</v>
      </c>
      <c r="H20" s="69">
        <v>10</v>
      </c>
      <c r="I20" s="114">
        <v>1</v>
      </c>
      <c r="J20" s="115">
        <v>10</v>
      </c>
      <c r="K20" s="65"/>
      <c r="L20" s="65"/>
      <c r="M20" s="4" t="s">
        <v>4</v>
      </c>
      <c r="N20" s="89">
        <v>0.43613000000000002</v>
      </c>
      <c r="O20" s="90">
        <v>10</v>
      </c>
      <c r="P20" s="91">
        <v>0.39355000000000001</v>
      </c>
      <c r="Q20" s="92">
        <v>10</v>
      </c>
      <c r="R20" s="93">
        <v>0.80030000000000001</v>
      </c>
      <c r="S20" s="92">
        <v>10</v>
      </c>
      <c r="T20" s="94">
        <v>1</v>
      </c>
      <c r="U20" s="95">
        <v>10</v>
      </c>
    </row>
    <row r="21" spans="2:38" ht="13.5" customHeight="1" x14ac:dyDescent="0.25">
      <c r="B21" s="57" t="s">
        <v>31</v>
      </c>
      <c r="C21" s="66">
        <v>0.36974000000000001</v>
      </c>
      <c r="D21" s="67">
        <v>6</v>
      </c>
      <c r="E21" s="68">
        <v>0.34416999999999998</v>
      </c>
      <c r="F21" s="69">
        <v>6</v>
      </c>
      <c r="G21" s="70">
        <v>0.69191999999999998</v>
      </c>
      <c r="H21" s="69">
        <v>6</v>
      </c>
      <c r="I21" s="114">
        <v>0.90559999999999996</v>
      </c>
      <c r="J21" s="115">
        <v>6</v>
      </c>
      <c r="K21" s="65"/>
      <c r="L21" s="65"/>
      <c r="M21" s="4" t="s">
        <v>31</v>
      </c>
      <c r="N21" s="89">
        <v>0.34366000000000002</v>
      </c>
      <c r="O21" s="90">
        <v>9</v>
      </c>
      <c r="P21" s="91">
        <v>0.31663999999999998</v>
      </c>
      <c r="Q21" s="92">
        <v>9</v>
      </c>
      <c r="R21" s="93">
        <v>0.67608000000000001</v>
      </c>
      <c r="S21" s="92">
        <v>8</v>
      </c>
      <c r="T21" s="94">
        <v>0.84062000000000003</v>
      </c>
      <c r="U21" s="95">
        <v>9</v>
      </c>
    </row>
    <row r="22" spans="2:38" ht="13.5" customHeight="1" x14ac:dyDescent="0.25">
      <c r="B22" s="57" t="s">
        <v>5</v>
      </c>
      <c r="C22" s="66">
        <v>0.36165000000000003</v>
      </c>
      <c r="D22" s="67">
        <v>4</v>
      </c>
      <c r="E22" s="68">
        <v>0.33883999999999997</v>
      </c>
      <c r="F22" s="69">
        <v>4</v>
      </c>
      <c r="G22" s="70">
        <v>0.67366000000000004</v>
      </c>
      <c r="H22" s="69">
        <v>4</v>
      </c>
      <c r="I22" s="114">
        <v>0.89481999999999995</v>
      </c>
      <c r="J22" s="115">
        <v>4</v>
      </c>
      <c r="K22" s="65"/>
      <c r="L22" s="65"/>
      <c r="M22" s="4" t="s">
        <v>5</v>
      </c>
      <c r="N22" s="89">
        <v>0.31862000000000001</v>
      </c>
      <c r="O22" s="90">
        <v>6</v>
      </c>
      <c r="P22" s="91">
        <v>0.30188999999999999</v>
      </c>
      <c r="Q22" s="92">
        <v>5</v>
      </c>
      <c r="R22" s="93">
        <v>0.65695999999999999</v>
      </c>
      <c r="S22" s="92">
        <v>6</v>
      </c>
      <c r="T22" s="94">
        <v>0.80098999999999998</v>
      </c>
      <c r="U22" s="95">
        <v>5</v>
      </c>
    </row>
    <row r="23" spans="2:38" ht="13.5" customHeight="1" x14ac:dyDescent="0.25">
      <c r="B23" s="58" t="s">
        <v>32</v>
      </c>
      <c r="C23" s="66">
        <v>0.36353999999999997</v>
      </c>
      <c r="D23" s="67">
        <v>5</v>
      </c>
      <c r="E23" s="68">
        <v>0.34389999999999998</v>
      </c>
      <c r="F23" s="69">
        <v>5</v>
      </c>
      <c r="G23" s="70">
        <v>0.69023999999999996</v>
      </c>
      <c r="H23" s="69">
        <v>5</v>
      </c>
      <c r="I23" s="114">
        <v>0.90159999999999996</v>
      </c>
      <c r="J23" s="115">
        <v>5</v>
      </c>
      <c r="K23" s="65"/>
      <c r="L23" s="65"/>
      <c r="M23" s="53" t="s">
        <v>32</v>
      </c>
      <c r="N23" s="89">
        <v>0.33939000000000002</v>
      </c>
      <c r="O23" s="90">
        <v>8</v>
      </c>
      <c r="P23" s="91">
        <v>0.31630999999999998</v>
      </c>
      <c r="Q23" s="92">
        <v>8</v>
      </c>
      <c r="R23" s="93">
        <v>0.68052999999999997</v>
      </c>
      <c r="S23" s="92">
        <v>9</v>
      </c>
      <c r="T23" s="94">
        <v>0.83720000000000006</v>
      </c>
      <c r="U23" s="95">
        <v>8</v>
      </c>
    </row>
    <row r="24" spans="2:38" ht="13.5" customHeight="1" x14ac:dyDescent="0.25">
      <c r="B24" s="58" t="s">
        <v>6</v>
      </c>
      <c r="C24" s="66">
        <v>0.35657</v>
      </c>
      <c r="D24" s="67">
        <v>3</v>
      </c>
      <c r="E24" s="77">
        <v>0.33277000000000001</v>
      </c>
      <c r="F24" s="78">
        <v>1</v>
      </c>
      <c r="G24" s="70">
        <v>0.67291999999999996</v>
      </c>
      <c r="H24" s="69">
        <v>3</v>
      </c>
      <c r="I24" s="176">
        <v>0.87709999999999999</v>
      </c>
      <c r="J24" s="177">
        <v>2</v>
      </c>
      <c r="K24" s="74"/>
      <c r="L24" s="74"/>
      <c r="M24" s="53" t="s">
        <v>6</v>
      </c>
      <c r="N24" s="89">
        <v>0.32779999999999998</v>
      </c>
      <c r="O24" s="90">
        <v>7</v>
      </c>
      <c r="P24" s="91">
        <v>0.30343999999999999</v>
      </c>
      <c r="Q24" s="92">
        <v>7</v>
      </c>
      <c r="R24" s="93">
        <v>0.65193999999999996</v>
      </c>
      <c r="S24" s="92">
        <v>5</v>
      </c>
      <c r="T24" s="94">
        <v>0.80266000000000004</v>
      </c>
      <c r="U24" s="95">
        <v>6</v>
      </c>
    </row>
    <row r="25" spans="2:38" ht="13.5" customHeight="1" x14ac:dyDescent="0.25">
      <c r="B25" s="58" t="s">
        <v>8</v>
      </c>
      <c r="C25" s="66">
        <v>0.35643999999999998</v>
      </c>
      <c r="D25" s="67">
        <v>2</v>
      </c>
      <c r="E25" s="68">
        <v>0.33360000000000001</v>
      </c>
      <c r="F25" s="69">
        <v>2</v>
      </c>
      <c r="G25" s="79">
        <v>0.66749000000000003</v>
      </c>
      <c r="H25" s="78">
        <v>1</v>
      </c>
      <c r="I25" s="70">
        <v>0.88334999999999997</v>
      </c>
      <c r="J25" s="116">
        <v>3</v>
      </c>
      <c r="K25" s="104"/>
      <c r="L25" s="104"/>
      <c r="M25" s="53" t="s">
        <v>8</v>
      </c>
      <c r="N25" s="80">
        <v>0.30418000000000001</v>
      </c>
      <c r="O25" s="81">
        <v>1</v>
      </c>
      <c r="P25" s="82">
        <v>0.29147000000000001</v>
      </c>
      <c r="Q25" s="83">
        <v>1</v>
      </c>
      <c r="R25" s="93">
        <v>0.64290000000000003</v>
      </c>
      <c r="S25" s="92">
        <v>3</v>
      </c>
      <c r="T25" s="94">
        <v>0.77076999999999996</v>
      </c>
      <c r="U25" s="95">
        <v>3</v>
      </c>
    </row>
    <row r="26" spans="2:38" ht="13.5" customHeight="1" x14ac:dyDescent="0.25">
      <c r="B26" s="58" t="s">
        <v>17</v>
      </c>
      <c r="C26" s="75">
        <v>0.35487000000000002</v>
      </c>
      <c r="D26" s="76">
        <v>1</v>
      </c>
      <c r="E26" s="68">
        <v>0.33705000000000002</v>
      </c>
      <c r="F26" s="69">
        <v>3</v>
      </c>
      <c r="G26" s="70">
        <v>0.66925999999999997</v>
      </c>
      <c r="H26" s="69">
        <v>2</v>
      </c>
      <c r="I26" s="178">
        <v>0.87560000000000004</v>
      </c>
      <c r="J26" s="179">
        <v>1</v>
      </c>
      <c r="K26" s="65"/>
      <c r="L26" s="65"/>
      <c r="M26" s="53" t="s">
        <v>17</v>
      </c>
      <c r="N26" s="89">
        <v>0.31607000000000002</v>
      </c>
      <c r="O26" s="90">
        <v>5</v>
      </c>
      <c r="P26" s="91">
        <v>0.30235000000000001</v>
      </c>
      <c r="Q26" s="92">
        <v>6</v>
      </c>
      <c r="R26" s="93">
        <v>0.66310000000000002</v>
      </c>
      <c r="S26" s="92">
        <v>7</v>
      </c>
      <c r="T26" s="94">
        <v>0.80295000000000005</v>
      </c>
      <c r="U26" s="95">
        <v>7</v>
      </c>
    </row>
    <row r="27" spans="2:38" ht="13.5" customHeight="1" x14ac:dyDescent="0.25">
      <c r="B27" s="58" t="s">
        <v>9</v>
      </c>
      <c r="C27" s="66">
        <v>0.38206000000000001</v>
      </c>
      <c r="D27" s="67">
        <v>8</v>
      </c>
      <c r="E27" s="68">
        <v>0.35475000000000001</v>
      </c>
      <c r="F27" s="69">
        <v>8</v>
      </c>
      <c r="G27" s="70">
        <v>0.75458999999999998</v>
      </c>
      <c r="H27" s="69">
        <v>8</v>
      </c>
      <c r="I27" s="114">
        <v>0.92459999999999998</v>
      </c>
      <c r="J27" s="115">
        <v>8</v>
      </c>
      <c r="K27" s="65"/>
      <c r="L27" s="65"/>
      <c r="M27" s="53" t="s">
        <v>9</v>
      </c>
      <c r="N27" s="89">
        <v>0.30853999999999998</v>
      </c>
      <c r="O27" s="90">
        <v>3</v>
      </c>
      <c r="P27" s="91">
        <v>0.29908000000000001</v>
      </c>
      <c r="Q27" s="92">
        <v>3</v>
      </c>
      <c r="R27" s="93">
        <v>0.63714999999999999</v>
      </c>
      <c r="S27" s="92">
        <v>2</v>
      </c>
      <c r="T27" s="94">
        <v>0.77129999999999999</v>
      </c>
      <c r="U27" s="95">
        <v>4</v>
      </c>
    </row>
    <row r="28" spans="2:38" ht="13.5" customHeight="1" x14ac:dyDescent="0.25">
      <c r="B28" s="58" t="s">
        <v>15</v>
      </c>
      <c r="C28" s="66">
        <v>0.3755</v>
      </c>
      <c r="D28" s="67">
        <v>7</v>
      </c>
      <c r="E28" s="68">
        <v>0.34998000000000001</v>
      </c>
      <c r="F28" s="69">
        <v>7</v>
      </c>
      <c r="G28" s="70">
        <v>0.74426999999999999</v>
      </c>
      <c r="H28" s="69">
        <v>7</v>
      </c>
      <c r="I28" s="114">
        <v>0.92196999999999996</v>
      </c>
      <c r="J28" s="115">
        <v>7</v>
      </c>
      <c r="K28" s="65"/>
      <c r="L28" s="65"/>
      <c r="M28" s="53" t="s">
        <v>15</v>
      </c>
      <c r="N28" s="89">
        <v>0.30443999999999999</v>
      </c>
      <c r="O28" s="90">
        <v>2</v>
      </c>
      <c r="P28" s="91">
        <v>0.29444999999999999</v>
      </c>
      <c r="Q28" s="92">
        <v>2</v>
      </c>
      <c r="R28" s="84">
        <v>0.62773000000000001</v>
      </c>
      <c r="S28" s="83">
        <v>1</v>
      </c>
      <c r="T28" s="85">
        <v>0.75851000000000002</v>
      </c>
      <c r="U28" s="86">
        <v>1</v>
      </c>
    </row>
    <row r="29" spans="2:38" ht="13.5" customHeight="1" thickBot="1" x14ac:dyDescent="0.3">
      <c r="B29" s="58" t="s">
        <v>16</v>
      </c>
      <c r="C29" s="111">
        <v>0.38312000000000002</v>
      </c>
      <c r="D29" s="112">
        <v>9</v>
      </c>
      <c r="E29" s="108">
        <v>0.35596</v>
      </c>
      <c r="F29" s="109">
        <v>9</v>
      </c>
      <c r="G29" s="110">
        <v>0.76636000000000004</v>
      </c>
      <c r="H29" s="109">
        <v>9</v>
      </c>
      <c r="I29" s="114">
        <v>0.93127000000000004</v>
      </c>
      <c r="J29" s="115">
        <v>9</v>
      </c>
      <c r="K29" s="65"/>
      <c r="L29" s="65"/>
      <c r="M29" s="53" t="s">
        <v>16</v>
      </c>
      <c r="N29" s="97">
        <v>0.30953999999999998</v>
      </c>
      <c r="O29" s="98">
        <v>4</v>
      </c>
      <c r="P29" s="99">
        <v>0.29937000000000002</v>
      </c>
      <c r="Q29" s="100">
        <v>4</v>
      </c>
      <c r="R29" s="101">
        <v>0.64437</v>
      </c>
      <c r="S29" s="100">
        <v>4</v>
      </c>
      <c r="T29" s="94">
        <v>0.77068999999999999</v>
      </c>
      <c r="U29" s="95">
        <v>2</v>
      </c>
    </row>
    <row r="30" spans="2:38" ht="13.5" customHeight="1" x14ac:dyDescent="0.25">
      <c r="B30" s="163" t="s">
        <v>14</v>
      </c>
      <c r="C30" s="164"/>
      <c r="D30" s="164"/>
      <c r="E30" s="164"/>
      <c r="F30" s="164"/>
      <c r="G30" s="164"/>
      <c r="H30" s="164"/>
      <c r="I30" s="164"/>
      <c r="J30" s="165"/>
      <c r="K30" s="103"/>
      <c r="L30" s="103"/>
      <c r="M30" s="163" t="s">
        <v>14</v>
      </c>
      <c r="N30" s="164"/>
      <c r="O30" s="164"/>
      <c r="P30" s="164"/>
      <c r="Q30" s="164"/>
      <c r="R30" s="164"/>
      <c r="S30" s="164"/>
      <c r="T30" s="164"/>
      <c r="U30" s="165"/>
    </row>
    <row r="31" spans="2:38" ht="13.5" customHeight="1" x14ac:dyDescent="0.25">
      <c r="B31" s="57"/>
      <c r="C31" s="4" t="s">
        <v>10</v>
      </c>
      <c r="D31" s="4" t="s">
        <v>19</v>
      </c>
      <c r="E31" s="4" t="s">
        <v>11</v>
      </c>
      <c r="F31" s="4" t="s">
        <v>19</v>
      </c>
      <c r="G31" s="4" t="s">
        <v>1</v>
      </c>
      <c r="H31" s="4" t="s">
        <v>19</v>
      </c>
      <c r="I31" s="4" t="s">
        <v>2</v>
      </c>
      <c r="J31" s="113" t="s">
        <v>19</v>
      </c>
      <c r="N31" s="52" t="s">
        <v>10</v>
      </c>
      <c r="O31" s="52" t="s">
        <v>19</v>
      </c>
      <c r="P31" s="52" t="s">
        <v>11</v>
      </c>
      <c r="Q31" s="52" t="s">
        <v>19</v>
      </c>
      <c r="R31" s="52" t="s">
        <v>1</v>
      </c>
      <c r="S31" s="52" t="s">
        <v>19</v>
      </c>
      <c r="T31" s="52" t="s">
        <v>2</v>
      </c>
      <c r="U31" s="52" t="s">
        <v>19</v>
      </c>
    </row>
    <row r="32" spans="2:38" ht="13.5" customHeight="1" x14ac:dyDescent="0.25">
      <c r="B32" s="57" t="s">
        <v>4</v>
      </c>
      <c r="C32" s="68">
        <v>0.44721</v>
      </c>
      <c r="D32" s="69">
        <v>10</v>
      </c>
      <c r="E32" s="68">
        <v>0.40944000000000003</v>
      </c>
      <c r="F32" s="69">
        <v>10</v>
      </c>
      <c r="G32" s="70">
        <v>0.84562000000000004</v>
      </c>
      <c r="H32" s="69">
        <v>10</v>
      </c>
      <c r="I32" s="114">
        <v>1</v>
      </c>
      <c r="J32" s="115">
        <v>10</v>
      </c>
      <c r="K32" s="65"/>
      <c r="L32" s="65"/>
      <c r="M32" s="4" t="s">
        <v>4</v>
      </c>
      <c r="N32" s="91">
        <v>0.48820999999999998</v>
      </c>
      <c r="O32" s="92">
        <v>10</v>
      </c>
      <c r="P32" s="91">
        <v>0.41377000000000003</v>
      </c>
      <c r="Q32" s="92">
        <v>10</v>
      </c>
      <c r="R32" s="93">
        <v>0.85050999999999999</v>
      </c>
      <c r="S32" s="92">
        <v>10</v>
      </c>
      <c r="T32" s="94">
        <v>1</v>
      </c>
      <c r="U32" s="95">
        <v>10</v>
      </c>
      <c r="V32" s="65"/>
      <c r="W32" s="65"/>
      <c r="X32" s="65"/>
      <c r="Y32" s="65">
        <f>259/1536</f>
        <v>0.16861979166666666</v>
      </c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5"/>
      <c r="AK32" s="65"/>
      <c r="AL32" s="65"/>
    </row>
    <row r="33" spans="2:38" ht="13.5" customHeight="1" x14ac:dyDescent="0.25">
      <c r="B33" s="57" t="s">
        <v>31</v>
      </c>
      <c r="C33" s="68">
        <v>0.37866</v>
      </c>
      <c r="D33" s="69">
        <v>6</v>
      </c>
      <c r="E33" s="68">
        <v>0.35482999999999998</v>
      </c>
      <c r="F33" s="69">
        <v>6</v>
      </c>
      <c r="G33" s="70">
        <v>0.76161000000000001</v>
      </c>
      <c r="H33" s="69">
        <v>5</v>
      </c>
      <c r="I33" s="114">
        <v>0.90329000000000004</v>
      </c>
      <c r="J33" s="115">
        <v>6</v>
      </c>
      <c r="K33" s="65"/>
      <c r="L33" s="65"/>
      <c r="M33" s="4" t="s">
        <v>31</v>
      </c>
      <c r="N33" s="91">
        <v>0.37173</v>
      </c>
      <c r="O33" s="92">
        <v>9</v>
      </c>
      <c r="P33" s="91">
        <v>0.33209</v>
      </c>
      <c r="Q33" s="92">
        <v>9</v>
      </c>
      <c r="R33" s="93">
        <v>0.72501000000000004</v>
      </c>
      <c r="S33" s="92">
        <v>9</v>
      </c>
      <c r="T33" s="96">
        <v>0.81428</v>
      </c>
      <c r="U33" s="95">
        <v>9</v>
      </c>
      <c r="V33" s="65"/>
      <c r="W33" s="65"/>
      <c r="X33" s="65"/>
      <c r="Y33" s="65">
        <f>17/128</f>
        <v>0.1328125</v>
      </c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65"/>
      <c r="AK33" s="65"/>
      <c r="AL33" s="65"/>
    </row>
    <row r="34" spans="2:38" ht="13.5" customHeight="1" x14ac:dyDescent="0.25">
      <c r="B34" s="57" t="s">
        <v>5</v>
      </c>
      <c r="C34" s="68">
        <v>0.36395</v>
      </c>
      <c r="D34" s="69">
        <v>3</v>
      </c>
      <c r="E34" s="68">
        <v>0.34427999999999997</v>
      </c>
      <c r="F34" s="69">
        <v>3</v>
      </c>
      <c r="G34" s="70">
        <v>0.72494000000000003</v>
      </c>
      <c r="H34" s="69">
        <v>2</v>
      </c>
      <c r="I34" s="114">
        <v>0.86370999999999998</v>
      </c>
      <c r="J34" s="115">
        <v>3</v>
      </c>
      <c r="K34" s="65"/>
      <c r="L34" s="65"/>
      <c r="M34" s="4" t="s">
        <v>5</v>
      </c>
      <c r="N34" s="91">
        <v>0.33845999999999998</v>
      </c>
      <c r="O34" s="92">
        <v>6</v>
      </c>
      <c r="P34" s="91">
        <v>0.31395000000000001</v>
      </c>
      <c r="Q34" s="92">
        <v>6</v>
      </c>
      <c r="R34" s="93">
        <v>0.69618000000000002</v>
      </c>
      <c r="S34" s="92">
        <v>6</v>
      </c>
      <c r="T34" s="94">
        <v>0.77003999999999995</v>
      </c>
      <c r="U34" s="95">
        <v>5</v>
      </c>
    </row>
    <row r="35" spans="2:38" ht="13.5" customHeight="1" x14ac:dyDescent="0.25">
      <c r="B35" s="58" t="s">
        <v>32</v>
      </c>
      <c r="C35" s="68">
        <v>0.37103999999999998</v>
      </c>
      <c r="D35" s="69">
        <v>5</v>
      </c>
      <c r="E35" s="68">
        <v>0.35453000000000001</v>
      </c>
      <c r="F35" s="69">
        <v>5</v>
      </c>
      <c r="G35" s="70">
        <v>0.76878999999999997</v>
      </c>
      <c r="H35" s="69">
        <v>6</v>
      </c>
      <c r="I35" s="114">
        <v>0.89746999999999999</v>
      </c>
      <c r="J35" s="115">
        <v>5</v>
      </c>
      <c r="K35" s="65"/>
      <c r="L35" s="65"/>
      <c r="M35" s="53" t="s">
        <v>32</v>
      </c>
      <c r="N35" s="91">
        <v>0.36475999999999997</v>
      </c>
      <c r="O35" s="92">
        <v>8</v>
      </c>
      <c r="P35" s="91">
        <v>0.33034000000000002</v>
      </c>
      <c r="Q35" s="92">
        <v>8</v>
      </c>
      <c r="R35" s="93">
        <v>0.72101000000000004</v>
      </c>
      <c r="S35" s="92">
        <v>8</v>
      </c>
      <c r="T35" s="94">
        <v>0.81220999999999999</v>
      </c>
      <c r="U35" s="95">
        <v>8</v>
      </c>
    </row>
    <row r="36" spans="2:38" ht="13.5" customHeight="1" x14ac:dyDescent="0.25">
      <c r="B36" s="58" t="s">
        <v>6</v>
      </c>
      <c r="C36" s="68">
        <v>0.36464999999999997</v>
      </c>
      <c r="D36" s="69">
        <v>4</v>
      </c>
      <c r="E36" s="68">
        <v>0.34345999999999999</v>
      </c>
      <c r="F36" s="69">
        <v>2</v>
      </c>
      <c r="G36" s="70">
        <v>0.74411000000000005</v>
      </c>
      <c r="H36" s="69">
        <v>4</v>
      </c>
      <c r="I36" s="114">
        <v>0.87</v>
      </c>
      <c r="J36" s="115">
        <v>4</v>
      </c>
      <c r="K36" s="65"/>
      <c r="L36" s="65"/>
      <c r="M36" s="53" t="s">
        <v>6</v>
      </c>
      <c r="N36" s="91">
        <v>0.35394999999999999</v>
      </c>
      <c r="O36" s="92">
        <v>7</v>
      </c>
      <c r="P36" s="91">
        <v>0.31539</v>
      </c>
      <c r="Q36" s="92">
        <v>7</v>
      </c>
      <c r="R36" s="93">
        <v>0.69274000000000002</v>
      </c>
      <c r="S36" s="92">
        <v>5</v>
      </c>
      <c r="T36" s="94">
        <v>0.77403</v>
      </c>
      <c r="U36" s="95">
        <v>7</v>
      </c>
    </row>
    <row r="37" spans="2:38" ht="13.5" customHeight="1" x14ac:dyDescent="0.25">
      <c r="B37" s="58" t="s">
        <v>8</v>
      </c>
      <c r="C37" s="68">
        <v>0.35991000000000001</v>
      </c>
      <c r="D37" s="69">
        <v>2</v>
      </c>
      <c r="E37" s="77">
        <v>0.34083000000000002</v>
      </c>
      <c r="F37" s="78">
        <v>1</v>
      </c>
      <c r="G37" s="79">
        <v>0.72123999999999999</v>
      </c>
      <c r="H37" s="78">
        <v>1</v>
      </c>
      <c r="I37" s="79">
        <v>0.86</v>
      </c>
      <c r="J37" s="117">
        <v>1</v>
      </c>
      <c r="K37" s="105"/>
      <c r="L37" s="105"/>
      <c r="M37" s="53" t="s">
        <v>8</v>
      </c>
      <c r="N37" s="91">
        <v>0.32234000000000002</v>
      </c>
      <c r="O37" s="92">
        <v>2</v>
      </c>
      <c r="P37" s="82">
        <v>0.30148000000000003</v>
      </c>
      <c r="Q37" s="83">
        <v>1</v>
      </c>
      <c r="R37" s="93">
        <v>0.67956000000000005</v>
      </c>
      <c r="S37" s="92">
        <v>4</v>
      </c>
      <c r="T37" s="94">
        <v>0.74211000000000005</v>
      </c>
      <c r="U37" s="95">
        <v>4</v>
      </c>
    </row>
    <row r="38" spans="2:38" ht="13.5" customHeight="1" x14ac:dyDescent="0.25">
      <c r="B38" s="58" t="s">
        <v>17</v>
      </c>
      <c r="C38" s="77">
        <v>0.35859999999999997</v>
      </c>
      <c r="D38" s="78">
        <v>1</v>
      </c>
      <c r="E38" s="68">
        <v>0.34492</v>
      </c>
      <c r="F38" s="69">
        <v>4</v>
      </c>
      <c r="G38" s="70">
        <v>0.73148000000000002</v>
      </c>
      <c r="H38" s="69">
        <v>3</v>
      </c>
      <c r="I38" s="114">
        <v>0.86041000000000001</v>
      </c>
      <c r="J38" s="115">
        <v>2</v>
      </c>
      <c r="K38" s="65"/>
      <c r="L38" s="65"/>
      <c r="M38" s="53" t="s">
        <v>17</v>
      </c>
      <c r="N38" s="91">
        <v>0.33552999999999999</v>
      </c>
      <c r="O38" s="92">
        <v>5</v>
      </c>
      <c r="P38" s="91">
        <v>0.31392999999999999</v>
      </c>
      <c r="Q38" s="92">
        <v>5</v>
      </c>
      <c r="R38" s="93">
        <v>0.70030999999999999</v>
      </c>
      <c r="S38" s="92">
        <v>7</v>
      </c>
      <c r="T38" s="94">
        <v>0.77131000000000005</v>
      </c>
      <c r="U38" s="95">
        <v>6</v>
      </c>
    </row>
    <row r="39" spans="2:38" ht="13.5" customHeight="1" x14ac:dyDescent="0.25">
      <c r="B39" s="58" t="s">
        <v>9</v>
      </c>
      <c r="C39" s="68">
        <v>0.38718999999999998</v>
      </c>
      <c r="D39" s="69">
        <v>9</v>
      </c>
      <c r="E39" s="68">
        <v>0.36468</v>
      </c>
      <c r="F39" s="69">
        <v>8</v>
      </c>
      <c r="G39" s="70">
        <v>0.78166000000000002</v>
      </c>
      <c r="H39" s="69">
        <v>8</v>
      </c>
      <c r="I39" s="114">
        <v>0.91518999999999995</v>
      </c>
      <c r="J39" s="115">
        <v>9</v>
      </c>
      <c r="K39" s="65"/>
      <c r="L39" s="65"/>
      <c r="M39" s="53" t="s">
        <v>9</v>
      </c>
      <c r="N39" s="91">
        <v>0.32267000000000001</v>
      </c>
      <c r="O39" s="92">
        <v>3</v>
      </c>
      <c r="P39" s="91">
        <v>0.31019999999999998</v>
      </c>
      <c r="Q39" s="92">
        <v>3</v>
      </c>
      <c r="R39" s="93">
        <v>0.66410999999999998</v>
      </c>
      <c r="S39" s="92">
        <v>2</v>
      </c>
      <c r="T39" s="94">
        <v>0.73538000000000003</v>
      </c>
      <c r="U39" s="95">
        <v>3</v>
      </c>
    </row>
    <row r="40" spans="2:38" ht="13.5" customHeight="1" x14ac:dyDescent="0.25">
      <c r="B40" s="58" t="s">
        <v>15</v>
      </c>
      <c r="C40" s="68">
        <v>0.38190000000000002</v>
      </c>
      <c r="D40" s="69">
        <v>8</v>
      </c>
      <c r="E40" s="68">
        <v>0.35910999999999998</v>
      </c>
      <c r="F40" s="69">
        <v>7</v>
      </c>
      <c r="G40" s="70">
        <v>0.77161999999999997</v>
      </c>
      <c r="H40" s="69">
        <v>7</v>
      </c>
      <c r="I40" s="114">
        <v>0.90658000000000005</v>
      </c>
      <c r="J40" s="115">
        <v>7</v>
      </c>
      <c r="K40" s="65"/>
      <c r="L40" s="65"/>
      <c r="M40" s="53" t="s">
        <v>15</v>
      </c>
      <c r="N40" s="82">
        <v>0.31962000000000002</v>
      </c>
      <c r="O40" s="83">
        <v>1</v>
      </c>
      <c r="P40" s="91">
        <v>0.30576999999999999</v>
      </c>
      <c r="Q40" s="92">
        <v>2</v>
      </c>
      <c r="R40" s="84">
        <v>0.65483999999999998</v>
      </c>
      <c r="S40" s="83">
        <v>1</v>
      </c>
      <c r="T40" s="85">
        <v>0.72169000000000005</v>
      </c>
      <c r="U40" s="86">
        <v>1</v>
      </c>
    </row>
    <row r="41" spans="2:38" ht="13.5" customHeight="1" thickBot="1" x14ac:dyDescent="0.3">
      <c r="B41" s="118" t="s">
        <v>16</v>
      </c>
      <c r="C41" s="119">
        <v>0.38080000000000003</v>
      </c>
      <c r="D41" s="120">
        <v>7</v>
      </c>
      <c r="E41" s="119">
        <v>0.36488999999999999</v>
      </c>
      <c r="F41" s="120">
        <v>9</v>
      </c>
      <c r="G41" s="121">
        <v>0.79103999999999997</v>
      </c>
      <c r="H41" s="120">
        <v>9</v>
      </c>
      <c r="I41" s="122">
        <v>0.91225000000000001</v>
      </c>
      <c r="J41" s="123">
        <v>8</v>
      </c>
      <c r="K41" s="65"/>
      <c r="L41" s="65"/>
      <c r="M41" s="53" t="s">
        <v>16</v>
      </c>
      <c r="N41" s="99">
        <v>0.32296000000000002</v>
      </c>
      <c r="O41" s="100">
        <v>4</v>
      </c>
      <c r="P41" s="99">
        <v>0.31054999999999999</v>
      </c>
      <c r="Q41" s="100">
        <v>4</v>
      </c>
      <c r="R41" s="101">
        <v>0.66837999999999997</v>
      </c>
      <c r="S41" s="100">
        <v>3</v>
      </c>
      <c r="T41" s="94">
        <v>0.73512</v>
      </c>
      <c r="U41" s="95">
        <v>2</v>
      </c>
    </row>
    <row r="42" spans="2:38" ht="13.5" customHeight="1" x14ac:dyDescent="0.25">
      <c r="C42" s="65"/>
      <c r="D42" s="65"/>
      <c r="E42" s="65"/>
      <c r="F42" s="65"/>
      <c r="G42" s="65"/>
      <c r="H42" s="65"/>
      <c r="I42" s="65"/>
      <c r="J42" s="65"/>
      <c r="K42" s="65"/>
      <c r="L42" s="65"/>
      <c r="M42" s="65"/>
    </row>
    <row r="43" spans="2:38" ht="13.5" customHeight="1" x14ac:dyDescent="0.25">
      <c r="C43" s="88"/>
      <c r="D43" s="88"/>
      <c r="E43" s="88"/>
      <c r="F43" s="64"/>
      <c r="G43" s="64"/>
      <c r="H43" s="64"/>
      <c r="I43" s="64"/>
      <c r="J43" s="65"/>
      <c r="K43" s="65"/>
      <c r="L43" s="65"/>
      <c r="M43" s="65"/>
    </row>
    <row r="44" spans="2:38" ht="13.5" customHeight="1" x14ac:dyDescent="0.25">
      <c r="C44" s="102">
        <f>AVERAGE(C8:C17)</f>
        <v>0.38508700000000007</v>
      </c>
      <c r="D44" s="102"/>
      <c r="E44" s="102">
        <f t="shared" ref="E44:I44" si="0">AVERAGE(E8:E17)</f>
        <v>0.34523900000000007</v>
      </c>
      <c r="F44" s="102"/>
      <c r="G44" s="102">
        <f t="shared" si="0"/>
        <v>0.38508700000000007</v>
      </c>
      <c r="H44" s="102"/>
      <c r="I44" s="102">
        <f t="shared" si="0"/>
        <v>1.007107</v>
      </c>
      <c r="J44" s="102"/>
    </row>
    <row r="45" spans="2:38" ht="13.5" customHeight="1" x14ac:dyDescent="0.25">
      <c r="C45" s="102">
        <f>AVERAGE(C20:C29)</f>
        <v>0.371471</v>
      </c>
      <c r="D45" s="102"/>
      <c r="E45" s="102">
        <f t="shared" ref="E45:I45" si="1">AVERAGE(E20:E29)</f>
        <v>0.34708500000000003</v>
      </c>
      <c r="F45" s="102"/>
      <c r="G45" s="102">
        <f t="shared" si="1"/>
        <v>0.71067500000000006</v>
      </c>
      <c r="H45" s="102"/>
      <c r="I45" s="102">
        <f t="shared" si="1"/>
        <v>0.91159099999999993</v>
      </c>
    </row>
    <row r="46" spans="2:38" ht="13.5" customHeight="1" x14ac:dyDescent="0.25">
      <c r="C46" s="102">
        <f>AVERAGE(C31:C40)</f>
        <v>0.37923444444444443</v>
      </c>
      <c r="D46" s="102"/>
      <c r="E46" s="102">
        <f t="shared" ref="E46:I46" si="2">AVERAGE(E31:E40)</f>
        <v>0.35734222222222223</v>
      </c>
      <c r="F46" s="102"/>
      <c r="G46" s="102">
        <f t="shared" si="2"/>
        <v>0.76123000000000018</v>
      </c>
      <c r="H46" s="102"/>
      <c r="I46" s="102">
        <f t="shared" si="2"/>
        <v>0.89740555555555568</v>
      </c>
    </row>
    <row r="48" spans="2:38" ht="13.5" customHeight="1" x14ac:dyDescent="0.25">
      <c r="W48" s="102"/>
      <c r="X48" s="102"/>
      <c r="Y48" s="102"/>
      <c r="Z48" s="102"/>
      <c r="AA48" s="61"/>
      <c r="AB48" s="102"/>
      <c r="AC48" s="102"/>
      <c r="AD48" s="102"/>
      <c r="AE48" s="102"/>
      <c r="AF48" s="102"/>
      <c r="AG48" s="102"/>
      <c r="AH48" s="102"/>
      <c r="AI48" s="61"/>
      <c r="AJ48" s="102"/>
    </row>
  </sheetData>
  <mergeCells count="6">
    <mergeCell ref="B30:J30"/>
    <mergeCell ref="B18:J18"/>
    <mergeCell ref="B6:J6"/>
    <mergeCell ref="M30:U30"/>
    <mergeCell ref="M18:U18"/>
    <mergeCell ref="M6:U6"/>
  </mergeCell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3:S58"/>
  <sheetViews>
    <sheetView topLeftCell="B4" zoomScale="85" zoomScaleNormal="85" workbookViewId="0">
      <selection activeCell="B11" sqref="A11:XFD11"/>
    </sheetView>
  </sheetViews>
  <sheetFormatPr defaultColWidth="9" defaultRowHeight="15" x14ac:dyDescent="0.25"/>
  <cols>
    <col min="1" max="1" width="9" style="52"/>
    <col min="2" max="2" width="20.75" style="52" customWidth="1"/>
    <col min="3" max="5" width="12.875" style="52" customWidth="1"/>
    <col min="6" max="6" width="9" style="52"/>
    <col min="7" max="7" width="20.75" style="57" customWidth="1"/>
    <col min="8" max="10" width="12.875" style="52" customWidth="1"/>
    <col min="11" max="11" width="9" style="52"/>
    <col min="12" max="12" width="20.75" style="57" customWidth="1"/>
    <col min="13" max="15" width="12.875" style="52" customWidth="1"/>
    <col min="16" max="16" width="21.625" style="52" customWidth="1"/>
    <col min="17" max="17" width="15.375" style="52" customWidth="1"/>
    <col min="18" max="19" width="15" style="56" customWidth="1"/>
    <col min="20" max="16384" width="9" style="52"/>
  </cols>
  <sheetData>
    <row r="3" spans="2:15" x14ac:dyDescent="0.25">
      <c r="B3" s="52" t="s">
        <v>44</v>
      </c>
    </row>
    <row r="5" spans="2:15" x14ac:dyDescent="0.25">
      <c r="B5" s="59" t="s">
        <v>10</v>
      </c>
      <c r="G5" s="60" t="s">
        <v>11</v>
      </c>
      <c r="L5" s="60" t="s">
        <v>1</v>
      </c>
    </row>
    <row r="7" spans="2:15" x14ac:dyDescent="0.25">
      <c r="B7" s="52" t="s">
        <v>12</v>
      </c>
      <c r="C7" s="52" t="s">
        <v>4</v>
      </c>
      <c r="D7" s="52" t="s">
        <v>3</v>
      </c>
      <c r="E7" s="52" t="s">
        <v>6</v>
      </c>
      <c r="G7" s="57" t="s">
        <v>12</v>
      </c>
      <c r="H7" s="52" t="s">
        <v>4</v>
      </c>
      <c r="I7" s="52" t="s">
        <v>3</v>
      </c>
      <c r="J7" s="52" t="s">
        <v>6</v>
      </c>
      <c r="L7" s="57" t="s">
        <v>12</v>
      </c>
      <c r="M7" s="52" t="s">
        <v>4</v>
      </c>
      <c r="N7" s="52" t="s">
        <v>3</v>
      </c>
      <c r="O7" s="52" t="s">
        <v>6</v>
      </c>
    </row>
    <row r="8" spans="2:15" x14ac:dyDescent="0.25">
      <c r="B8" s="4" t="s">
        <v>3</v>
      </c>
      <c r="C8" s="55">
        <v>0</v>
      </c>
      <c r="D8" s="55"/>
      <c r="E8" s="55"/>
      <c r="G8" s="57" t="s">
        <v>3</v>
      </c>
      <c r="H8" s="55">
        <v>0</v>
      </c>
      <c r="I8" s="55"/>
      <c r="J8" s="55"/>
      <c r="L8" s="57" t="s">
        <v>3</v>
      </c>
      <c r="M8" s="55">
        <v>0</v>
      </c>
      <c r="N8" s="55"/>
      <c r="O8" s="55"/>
    </row>
    <row r="9" spans="2:15" x14ac:dyDescent="0.25">
      <c r="B9" s="53" t="s">
        <v>6</v>
      </c>
      <c r="C9" s="55">
        <v>0</v>
      </c>
      <c r="D9" s="55">
        <v>0</v>
      </c>
      <c r="G9" s="58" t="s">
        <v>6</v>
      </c>
      <c r="H9" s="55">
        <v>0</v>
      </c>
      <c r="I9" s="52">
        <v>0.13328000000000001</v>
      </c>
      <c r="L9" s="58" t="s">
        <v>6</v>
      </c>
      <c r="M9" s="55">
        <v>0</v>
      </c>
      <c r="N9" s="52">
        <v>0.2732</v>
      </c>
    </row>
    <row r="10" spans="2:15" x14ac:dyDescent="0.25">
      <c r="B10" s="53" t="s">
        <v>7</v>
      </c>
      <c r="C10" s="55">
        <v>0</v>
      </c>
      <c r="D10" s="55">
        <v>0.36469578219999998</v>
      </c>
      <c r="E10" s="55"/>
      <c r="G10" s="58" t="s">
        <v>7</v>
      </c>
      <c r="H10" s="55">
        <v>0</v>
      </c>
      <c r="I10" s="52">
        <v>0.24554999999999999</v>
      </c>
      <c r="J10" s="52">
        <v>9.0299999999999998E-3</v>
      </c>
      <c r="L10" s="58" t="s">
        <v>7</v>
      </c>
      <c r="M10" s="55">
        <v>0</v>
      </c>
      <c r="N10" s="52">
        <v>0.11358</v>
      </c>
      <c r="O10" s="52">
        <v>2.9569999999999999E-2</v>
      </c>
    </row>
    <row r="12" spans="2:15" x14ac:dyDescent="0.25">
      <c r="C12" s="52" t="s">
        <v>3</v>
      </c>
      <c r="D12" s="52" t="s">
        <v>5</v>
      </c>
      <c r="E12" s="52" t="s">
        <v>8</v>
      </c>
      <c r="H12" s="52" t="s">
        <v>3</v>
      </c>
      <c r="I12" s="52" t="s">
        <v>5</v>
      </c>
      <c r="J12" s="52" t="s">
        <v>8</v>
      </c>
      <c r="M12" s="52" t="s">
        <v>3</v>
      </c>
      <c r="N12" s="52" t="s">
        <v>5</v>
      </c>
      <c r="O12" s="52" t="s">
        <v>8</v>
      </c>
    </row>
    <row r="13" spans="2:15" x14ac:dyDescent="0.25">
      <c r="B13" s="4" t="s">
        <v>5</v>
      </c>
      <c r="C13" s="55">
        <v>0</v>
      </c>
      <c r="D13" s="55"/>
      <c r="E13" s="55"/>
      <c r="G13" s="57" t="s">
        <v>5</v>
      </c>
      <c r="H13" s="52">
        <v>1.4599999999999999E-3</v>
      </c>
      <c r="I13" s="55"/>
      <c r="J13" s="55"/>
      <c r="L13" s="57" t="s">
        <v>5</v>
      </c>
      <c r="M13" s="52">
        <v>2.0840000000000001E-2</v>
      </c>
      <c r="N13" s="55"/>
      <c r="O13" s="55"/>
    </row>
    <row r="14" spans="2:15" x14ac:dyDescent="0.25">
      <c r="B14" s="53" t="s">
        <v>8</v>
      </c>
      <c r="C14" s="55">
        <v>0</v>
      </c>
      <c r="D14" s="55">
        <v>1.7000000000000001E-2</v>
      </c>
      <c r="E14" s="55"/>
      <c r="G14" s="58" t="s">
        <v>8</v>
      </c>
      <c r="H14" s="52">
        <v>2.3000000000000001E-4</v>
      </c>
      <c r="I14" s="52">
        <v>0.2009</v>
      </c>
      <c r="J14" s="55"/>
      <c r="L14" s="58" t="s">
        <v>8</v>
      </c>
      <c r="M14" s="52">
        <v>1.1849999999999999E-2</v>
      </c>
      <c r="N14" s="52">
        <v>0.39846999999999999</v>
      </c>
      <c r="O14" s="55"/>
    </row>
    <row r="15" spans="2:15" x14ac:dyDescent="0.25">
      <c r="B15" s="53" t="s">
        <v>17</v>
      </c>
      <c r="C15" s="55">
        <v>0</v>
      </c>
      <c r="D15" s="55">
        <v>0.91423095239999996</v>
      </c>
      <c r="E15" s="55">
        <v>1.0982868E-3</v>
      </c>
      <c r="G15" s="58" t="s">
        <v>17</v>
      </c>
      <c r="H15" s="52">
        <v>5.5160000000000001E-2</v>
      </c>
      <c r="I15" s="52">
        <v>4.0719999999999999E-2</v>
      </c>
      <c r="J15" s="52">
        <v>4.0000000000000002E-4</v>
      </c>
      <c r="L15" s="58" t="s">
        <v>17</v>
      </c>
      <c r="M15" s="52">
        <v>0.29979</v>
      </c>
      <c r="N15" s="52">
        <v>8.6999999999999994E-3</v>
      </c>
      <c r="O15" s="52">
        <v>0.39932000000000001</v>
      </c>
    </row>
    <row r="17" spans="2:15" x14ac:dyDescent="0.25">
      <c r="C17" s="52" t="s">
        <v>3</v>
      </c>
      <c r="D17" s="52" t="s">
        <v>9</v>
      </c>
      <c r="E17" s="52" t="s">
        <v>15</v>
      </c>
      <c r="H17" s="52" t="s">
        <v>3</v>
      </c>
      <c r="I17" s="52" t="s">
        <v>9</v>
      </c>
      <c r="J17" s="52" t="s">
        <v>15</v>
      </c>
      <c r="M17" s="52" t="s">
        <v>3</v>
      </c>
      <c r="N17" s="52" t="s">
        <v>9</v>
      </c>
      <c r="O17" s="52" t="s">
        <v>15</v>
      </c>
    </row>
    <row r="18" spans="2:15" x14ac:dyDescent="0.25">
      <c r="B18" s="53" t="s">
        <v>9</v>
      </c>
      <c r="C18" s="55">
        <v>0</v>
      </c>
      <c r="D18" s="55"/>
      <c r="E18" s="55"/>
      <c r="G18" s="58" t="s">
        <v>9</v>
      </c>
      <c r="H18" s="52">
        <v>3.6060000000000002E-2</v>
      </c>
      <c r="I18" s="55"/>
      <c r="J18" s="55"/>
      <c r="L18" s="58" t="s">
        <v>9</v>
      </c>
      <c r="M18" s="52">
        <v>4.15E-3</v>
      </c>
      <c r="N18" s="55"/>
      <c r="O18" s="55"/>
    </row>
    <row r="19" spans="2:15" x14ac:dyDescent="0.25">
      <c r="B19" s="53" t="s">
        <v>15</v>
      </c>
      <c r="C19" s="55">
        <v>0</v>
      </c>
      <c r="D19" s="55">
        <v>0.14692348399999999</v>
      </c>
      <c r="E19" s="55"/>
      <c r="G19" s="58" t="s">
        <v>15</v>
      </c>
      <c r="H19" s="52">
        <v>2.989E-2</v>
      </c>
      <c r="I19" s="52">
        <v>0.53017999999999998</v>
      </c>
      <c r="J19" s="55"/>
      <c r="L19" s="58" t="s">
        <v>15</v>
      </c>
      <c r="M19" s="52">
        <v>1.39E-3</v>
      </c>
      <c r="N19" s="52">
        <v>0.28667999999999999</v>
      </c>
      <c r="O19" s="55"/>
    </row>
    <row r="20" spans="2:15" x14ac:dyDescent="0.25">
      <c r="B20" s="53" t="s">
        <v>16</v>
      </c>
      <c r="C20" s="55">
        <v>0</v>
      </c>
      <c r="D20" s="55">
        <v>0.59389554170000003</v>
      </c>
      <c r="E20" s="55">
        <v>9.3412213100000002E-2</v>
      </c>
      <c r="G20" s="58" t="s">
        <v>16</v>
      </c>
      <c r="H20" s="52">
        <v>9.6589999999999995E-2</v>
      </c>
      <c r="I20" s="52">
        <v>0.40783000000000003</v>
      </c>
      <c r="J20" s="52">
        <v>2.69E-2</v>
      </c>
      <c r="L20" s="58" t="s">
        <v>16</v>
      </c>
      <c r="M20" s="52">
        <v>4.1309999999999999E-2</v>
      </c>
      <c r="N20" s="52">
        <v>0.15847</v>
      </c>
      <c r="O20" s="52">
        <v>4.79E-3</v>
      </c>
    </row>
    <row r="26" spans="2:15" x14ac:dyDescent="0.25">
      <c r="B26" s="52" t="s">
        <v>13</v>
      </c>
      <c r="C26" s="52" t="s">
        <v>4</v>
      </c>
      <c r="D26" s="52" t="s">
        <v>3</v>
      </c>
      <c r="E26" s="52" t="s">
        <v>6</v>
      </c>
      <c r="G26" s="57" t="s">
        <v>13</v>
      </c>
      <c r="H26" s="52" t="s">
        <v>4</v>
      </c>
      <c r="I26" s="52" t="s">
        <v>3</v>
      </c>
      <c r="J26" s="52" t="s">
        <v>6</v>
      </c>
      <c r="L26" s="57" t="s">
        <v>13</v>
      </c>
      <c r="M26" s="52" t="s">
        <v>4</v>
      </c>
      <c r="N26" s="52" t="s">
        <v>3</v>
      </c>
      <c r="O26" s="52" t="s">
        <v>6</v>
      </c>
    </row>
    <row r="27" spans="2:15" x14ac:dyDescent="0.25">
      <c r="B27" s="4" t="s">
        <v>3</v>
      </c>
      <c r="C27" s="55">
        <v>0</v>
      </c>
      <c r="D27" s="55"/>
      <c r="E27" s="55"/>
      <c r="G27" s="57" t="s">
        <v>3</v>
      </c>
      <c r="H27" s="55">
        <v>0</v>
      </c>
      <c r="I27" s="55"/>
      <c r="J27" s="55"/>
      <c r="L27" s="57" t="s">
        <v>3</v>
      </c>
      <c r="M27" s="55">
        <v>0</v>
      </c>
      <c r="N27" s="55"/>
      <c r="O27" s="55"/>
    </row>
    <row r="28" spans="2:15" x14ac:dyDescent="0.25">
      <c r="B28" s="53" t="s">
        <v>6</v>
      </c>
      <c r="C28" s="55">
        <v>0</v>
      </c>
      <c r="D28" s="52">
        <v>6.4000000000000005E-4</v>
      </c>
      <c r="G28" s="58" t="s">
        <v>6</v>
      </c>
      <c r="H28" s="55">
        <v>0</v>
      </c>
      <c r="I28" s="52">
        <v>1.9369999999999998E-2</v>
      </c>
      <c r="L28" s="58" t="s">
        <v>6</v>
      </c>
      <c r="M28" s="55">
        <v>0</v>
      </c>
      <c r="N28" s="52">
        <v>7.8530000000000003E-2</v>
      </c>
    </row>
    <row r="29" spans="2:15" x14ac:dyDescent="0.25">
      <c r="B29" s="53" t="s">
        <v>7</v>
      </c>
      <c r="C29" s="55">
        <v>0</v>
      </c>
      <c r="D29" s="52">
        <v>0.49375000000000002</v>
      </c>
      <c r="E29" s="52">
        <v>1.2E-4</v>
      </c>
      <c r="G29" s="58" t="s">
        <v>7</v>
      </c>
      <c r="H29" s="55">
        <v>0</v>
      </c>
      <c r="I29" s="52">
        <v>0.67976000000000003</v>
      </c>
      <c r="J29" s="52">
        <v>3.8999999999999999E-4</v>
      </c>
      <c r="L29" s="58" t="s">
        <v>7</v>
      </c>
      <c r="M29" s="55">
        <v>0</v>
      </c>
      <c r="N29" s="52">
        <v>0.49835000000000002</v>
      </c>
      <c r="O29" s="52">
        <v>2.32E-3</v>
      </c>
    </row>
    <row r="31" spans="2:15" x14ac:dyDescent="0.25">
      <c r="C31" s="52" t="s">
        <v>3</v>
      </c>
      <c r="D31" s="52" t="s">
        <v>5</v>
      </c>
      <c r="E31" s="52" t="s">
        <v>8</v>
      </c>
      <c r="H31" s="52" t="s">
        <v>3</v>
      </c>
      <c r="I31" s="52" t="s">
        <v>5</v>
      </c>
      <c r="J31" s="52" t="s">
        <v>8</v>
      </c>
      <c r="M31" s="52" t="s">
        <v>3</v>
      </c>
      <c r="N31" s="52" t="s">
        <v>5</v>
      </c>
      <c r="O31" s="52" t="s">
        <v>8</v>
      </c>
    </row>
    <row r="32" spans="2:15" x14ac:dyDescent="0.25">
      <c r="B32" s="4" t="s">
        <v>5</v>
      </c>
      <c r="C32" s="52">
        <v>6.9999999999999994E-5</v>
      </c>
      <c r="D32" s="55"/>
      <c r="E32" s="55"/>
      <c r="G32" s="57" t="s">
        <v>5</v>
      </c>
      <c r="H32" s="52">
        <v>1.0300000000000001E-3</v>
      </c>
      <c r="I32" s="55"/>
      <c r="J32" s="55"/>
      <c r="L32" s="57" t="s">
        <v>5</v>
      </c>
      <c r="M32" s="52">
        <v>2.913E-2</v>
      </c>
      <c r="N32" s="55"/>
      <c r="O32" s="55"/>
    </row>
    <row r="33" spans="2:15" x14ac:dyDescent="0.25">
      <c r="B33" s="53" t="s">
        <v>8</v>
      </c>
      <c r="C33" s="55">
        <v>0</v>
      </c>
      <c r="D33" s="52">
        <v>9.9100000000000004E-3</v>
      </c>
      <c r="E33" s="55"/>
      <c r="G33" s="58" t="s">
        <v>8</v>
      </c>
      <c r="H33" s="55">
        <v>0</v>
      </c>
      <c r="I33" s="52">
        <v>2.1420000000000002E-2</v>
      </c>
      <c r="J33" s="55"/>
      <c r="L33" s="58" t="s">
        <v>8</v>
      </c>
      <c r="M33" s="52">
        <v>6.8999999999999997E-4</v>
      </c>
      <c r="N33" s="52">
        <v>0.13633999999999999</v>
      </c>
      <c r="O33" s="55"/>
    </row>
    <row r="34" spans="2:15" x14ac:dyDescent="0.25">
      <c r="B34" s="53" t="s">
        <v>17</v>
      </c>
      <c r="C34" s="55">
        <v>0</v>
      </c>
      <c r="D34" s="52">
        <v>0.7429</v>
      </c>
      <c r="E34" s="52">
        <v>7.6999999999999996E-4</v>
      </c>
      <c r="G34" s="58" t="s">
        <v>17</v>
      </c>
      <c r="H34" s="52">
        <v>3.3800000000000002E-3</v>
      </c>
      <c r="I34" s="52">
        <v>0.43595</v>
      </c>
      <c r="J34" s="52">
        <v>5.0000000000000002E-5</v>
      </c>
      <c r="L34" s="58" t="s">
        <v>17</v>
      </c>
      <c r="M34" s="52">
        <v>0.19012000000000001</v>
      </c>
      <c r="N34" s="52">
        <v>0.22731999999999999</v>
      </c>
      <c r="O34" s="52">
        <v>2.64E-3</v>
      </c>
    </row>
    <row r="36" spans="2:15" x14ac:dyDescent="0.25">
      <c r="C36" s="52" t="s">
        <v>3</v>
      </c>
      <c r="D36" s="52" t="s">
        <v>9</v>
      </c>
      <c r="E36" s="52" t="s">
        <v>15</v>
      </c>
      <c r="H36" s="52" t="s">
        <v>3</v>
      </c>
      <c r="I36" s="52" t="s">
        <v>9</v>
      </c>
      <c r="J36" s="52" t="s">
        <v>15</v>
      </c>
      <c r="M36" s="52" t="s">
        <v>3</v>
      </c>
      <c r="N36" s="52" t="s">
        <v>9</v>
      </c>
      <c r="O36" s="52" t="s">
        <v>15</v>
      </c>
    </row>
    <row r="37" spans="2:15" x14ac:dyDescent="0.25">
      <c r="B37" s="53" t="s">
        <v>9</v>
      </c>
      <c r="C37" s="52">
        <v>3.0000000000000001E-5</v>
      </c>
      <c r="D37" s="55"/>
      <c r="E37" s="55"/>
      <c r="G37" s="58" t="s">
        <v>9</v>
      </c>
      <c r="H37" s="52">
        <v>3.3500000000000001E-3</v>
      </c>
      <c r="I37" s="55"/>
      <c r="J37" s="55"/>
      <c r="L37" s="58" t="s">
        <v>9</v>
      </c>
      <c r="M37" s="52">
        <v>6.8000000000000005E-4</v>
      </c>
      <c r="N37" s="55"/>
      <c r="O37" s="55"/>
    </row>
    <row r="38" spans="2:15" x14ac:dyDescent="0.25">
      <c r="B38" s="53" t="s">
        <v>15</v>
      </c>
      <c r="C38" s="55">
        <v>0</v>
      </c>
      <c r="D38" s="52">
        <v>5.1360000000000003E-2</v>
      </c>
      <c r="E38" s="55"/>
      <c r="G38" s="58" t="s">
        <v>15</v>
      </c>
      <c r="H38" s="52">
        <v>1.0399999999999999E-3</v>
      </c>
      <c r="I38" s="52">
        <v>0.33333000000000002</v>
      </c>
      <c r="J38" s="55"/>
      <c r="L38" s="58" t="s">
        <v>15</v>
      </c>
      <c r="M38" s="52">
        <v>1.2E-4</v>
      </c>
      <c r="N38" s="52">
        <v>0.24277000000000001</v>
      </c>
      <c r="O38" s="55"/>
    </row>
    <row r="39" spans="2:15" x14ac:dyDescent="0.25">
      <c r="B39" s="53" t="s">
        <v>16</v>
      </c>
      <c r="C39" s="55">
        <v>0</v>
      </c>
      <c r="D39" s="55">
        <v>0</v>
      </c>
      <c r="E39" s="52">
        <v>2.3570000000000001E-2</v>
      </c>
      <c r="G39" s="58" t="s">
        <v>16</v>
      </c>
      <c r="H39" s="52">
        <v>8.26E-3</v>
      </c>
      <c r="I39" s="52">
        <v>0.92205999999999999</v>
      </c>
      <c r="J39" s="52">
        <v>3.9039999999999998E-2</v>
      </c>
      <c r="L39" s="58" t="s">
        <v>16</v>
      </c>
      <c r="M39" s="52">
        <v>2.2300000000000002E-3</v>
      </c>
      <c r="N39" s="52">
        <v>0.66234999999999999</v>
      </c>
      <c r="O39" s="52">
        <v>3.057E-2</v>
      </c>
    </row>
    <row r="45" spans="2:15" x14ac:dyDescent="0.25">
      <c r="B45" s="52" t="s">
        <v>14</v>
      </c>
      <c r="C45" s="52" t="s">
        <v>4</v>
      </c>
      <c r="D45" s="52" t="s">
        <v>3</v>
      </c>
      <c r="E45" s="52" t="s">
        <v>6</v>
      </c>
      <c r="G45" s="57" t="s">
        <v>14</v>
      </c>
      <c r="H45" s="52" t="s">
        <v>4</v>
      </c>
      <c r="I45" s="52" t="s">
        <v>3</v>
      </c>
      <c r="J45" s="52" t="s">
        <v>6</v>
      </c>
      <c r="L45" s="57" t="s">
        <v>14</v>
      </c>
      <c r="M45" s="52" t="s">
        <v>4</v>
      </c>
      <c r="N45" s="52" t="s">
        <v>3</v>
      </c>
      <c r="O45" s="52" t="s">
        <v>6</v>
      </c>
    </row>
    <row r="46" spans="2:15" x14ac:dyDescent="0.25">
      <c r="B46" s="4" t="s">
        <v>3</v>
      </c>
      <c r="C46" s="55">
        <v>0</v>
      </c>
      <c r="D46" s="55"/>
      <c r="E46" s="55"/>
      <c r="G46" s="57" t="s">
        <v>3</v>
      </c>
      <c r="H46" s="55">
        <v>0</v>
      </c>
      <c r="I46" s="55"/>
      <c r="J46" s="55"/>
      <c r="L46" s="57" t="s">
        <v>3</v>
      </c>
      <c r="M46" s="55">
        <v>0</v>
      </c>
      <c r="N46" s="55"/>
      <c r="O46" s="55"/>
    </row>
    <row r="47" spans="2:15" x14ac:dyDescent="0.25">
      <c r="B47" s="53" t="s">
        <v>6</v>
      </c>
      <c r="C47" s="55">
        <v>0</v>
      </c>
      <c r="D47" s="52">
        <v>1.3699999999999999E-3</v>
      </c>
      <c r="G47" s="58" t="s">
        <v>6</v>
      </c>
      <c r="H47" s="55">
        <v>0</v>
      </c>
      <c r="I47" s="52">
        <v>6.3000000000000003E-4</v>
      </c>
      <c r="L47" s="58" t="s">
        <v>6</v>
      </c>
      <c r="M47" s="55">
        <v>0</v>
      </c>
      <c r="N47" s="52">
        <v>2.5300000000000001E-3</v>
      </c>
    </row>
    <row r="48" spans="2:15" x14ac:dyDescent="0.25">
      <c r="B48" s="53" t="s">
        <v>7</v>
      </c>
      <c r="C48" s="55">
        <v>0</v>
      </c>
      <c r="D48" s="52">
        <v>0.36470000000000002</v>
      </c>
      <c r="E48" s="52">
        <v>1.14E-3</v>
      </c>
      <c r="G48" s="58" t="s">
        <v>7</v>
      </c>
      <c r="H48" s="55">
        <v>0</v>
      </c>
      <c r="I48" s="52">
        <v>0.39154</v>
      </c>
      <c r="J48" s="52">
        <v>2.0000000000000002E-5</v>
      </c>
      <c r="L48" s="58" t="s">
        <v>7</v>
      </c>
      <c r="M48" s="55">
        <v>0</v>
      </c>
      <c r="N48" s="52">
        <v>0.57884999999999998</v>
      </c>
      <c r="O48" s="52">
        <v>9.3000000000000005E-4</v>
      </c>
    </row>
    <row r="50" spans="2:15" x14ac:dyDescent="0.25">
      <c r="C50" s="52" t="s">
        <v>3</v>
      </c>
      <c r="D50" s="52" t="s">
        <v>5</v>
      </c>
      <c r="E50" s="52" t="s">
        <v>8</v>
      </c>
      <c r="H50" s="52" t="s">
        <v>3</v>
      </c>
      <c r="I50" s="52" t="s">
        <v>5</v>
      </c>
      <c r="J50" s="52" t="s">
        <v>8</v>
      </c>
      <c r="M50" s="52" t="s">
        <v>3</v>
      </c>
      <c r="N50" s="52" t="s">
        <v>5</v>
      </c>
      <c r="O50" s="52" t="s">
        <v>8</v>
      </c>
    </row>
    <row r="51" spans="2:15" x14ac:dyDescent="0.25">
      <c r="B51" s="4" t="s">
        <v>5</v>
      </c>
      <c r="C51" s="55">
        <v>0</v>
      </c>
      <c r="D51" s="55"/>
      <c r="E51" s="55"/>
      <c r="G51" s="57" t="s">
        <v>5</v>
      </c>
      <c r="H51" s="52">
        <v>1.1E-4</v>
      </c>
      <c r="I51" s="55"/>
      <c r="J51" s="55"/>
      <c r="L51" s="57" t="s">
        <v>5</v>
      </c>
      <c r="M51" s="52">
        <v>2.5500000000000002E-3</v>
      </c>
      <c r="N51" s="55"/>
      <c r="O51" s="55"/>
    </row>
    <row r="52" spans="2:15" x14ac:dyDescent="0.25">
      <c r="B52" s="53" t="s">
        <v>8</v>
      </c>
      <c r="C52" s="55">
        <v>0</v>
      </c>
      <c r="D52" s="52">
        <v>1.7010000000000001E-2</v>
      </c>
      <c r="E52" s="55"/>
      <c r="G52" s="58" t="s">
        <v>8</v>
      </c>
      <c r="H52" s="55">
        <v>0</v>
      </c>
      <c r="I52" s="52">
        <v>2.4889999999999999E-2</v>
      </c>
      <c r="J52" s="55"/>
      <c r="L52" s="58" t="s">
        <v>8</v>
      </c>
      <c r="M52" s="55">
        <v>0</v>
      </c>
      <c r="N52" s="52">
        <v>7.7700000000000005E-2</v>
      </c>
      <c r="O52" s="55"/>
    </row>
    <row r="53" spans="2:15" x14ac:dyDescent="0.25">
      <c r="B53" s="53" t="s">
        <v>17</v>
      </c>
      <c r="C53" s="55">
        <v>0</v>
      </c>
      <c r="D53" s="52">
        <v>0.91422999999999999</v>
      </c>
      <c r="E53" s="52">
        <v>1.1000000000000001E-3</v>
      </c>
      <c r="G53" s="58" t="s">
        <v>17</v>
      </c>
      <c r="H53" s="52">
        <v>5.9999999999999995E-4</v>
      </c>
      <c r="I53" s="52">
        <v>0.60770000000000002</v>
      </c>
      <c r="J53" s="52">
        <v>1.0000000000000001E-5</v>
      </c>
      <c r="L53" s="58" t="s">
        <v>17</v>
      </c>
      <c r="M53" s="52">
        <v>9.58E-3</v>
      </c>
      <c r="N53" s="52">
        <v>0.65178000000000003</v>
      </c>
      <c r="O53" s="52">
        <v>2.5500000000000002E-3</v>
      </c>
    </row>
    <row r="55" spans="2:15" x14ac:dyDescent="0.25">
      <c r="C55" s="52" t="s">
        <v>3</v>
      </c>
      <c r="D55" s="52" t="s">
        <v>9</v>
      </c>
      <c r="E55" s="52" t="s">
        <v>15</v>
      </c>
      <c r="H55" s="52" t="s">
        <v>3</v>
      </c>
      <c r="I55" s="52" t="s">
        <v>9</v>
      </c>
      <c r="J55" s="52" t="s">
        <v>15</v>
      </c>
      <c r="M55" s="52" t="s">
        <v>3</v>
      </c>
      <c r="N55" s="52" t="s">
        <v>9</v>
      </c>
      <c r="O55" s="52" t="s">
        <v>15</v>
      </c>
    </row>
    <row r="56" spans="2:15" x14ac:dyDescent="0.25">
      <c r="B56" s="53" t="s">
        <v>9</v>
      </c>
      <c r="C56" s="55">
        <v>0</v>
      </c>
      <c r="D56" s="55"/>
      <c r="E56" s="55"/>
      <c r="G56" s="58" t="s">
        <v>9</v>
      </c>
      <c r="H56" s="52">
        <v>4.2000000000000002E-4</v>
      </c>
      <c r="I56" s="55"/>
      <c r="J56" s="55"/>
      <c r="L56" s="58" t="s">
        <v>9</v>
      </c>
      <c r="M56" s="52">
        <v>3.0000000000000001E-5</v>
      </c>
      <c r="N56" s="55"/>
      <c r="O56" s="55"/>
    </row>
    <row r="57" spans="2:15" x14ac:dyDescent="0.25">
      <c r="B57" s="53" t="s">
        <v>15</v>
      </c>
      <c r="C57" s="55">
        <v>0</v>
      </c>
      <c r="D57" s="52">
        <v>0.14692</v>
      </c>
      <c r="E57" s="55"/>
      <c r="G57" s="58" t="s">
        <v>15</v>
      </c>
      <c r="H57" s="52">
        <v>1.2999999999999999E-4</v>
      </c>
      <c r="I57" s="52">
        <v>0.17319000000000001</v>
      </c>
      <c r="J57" s="55"/>
      <c r="L57" s="58" t="s">
        <v>15</v>
      </c>
      <c r="M57" s="55">
        <v>0</v>
      </c>
      <c r="N57" s="52">
        <v>0.19222</v>
      </c>
      <c r="O57" s="55"/>
    </row>
    <row r="58" spans="2:15" x14ac:dyDescent="0.25">
      <c r="B58" s="53" t="s">
        <v>16</v>
      </c>
      <c r="C58" s="55">
        <v>0</v>
      </c>
      <c r="D58" s="52">
        <v>0.59389999999999998</v>
      </c>
      <c r="E58" s="52">
        <v>9.3410000000000007E-2</v>
      </c>
      <c r="G58" s="58" t="s">
        <v>16</v>
      </c>
      <c r="H58" s="52">
        <v>4.8999999999999998E-4</v>
      </c>
      <c r="I58" s="52">
        <v>2.7999999999999998E-4</v>
      </c>
      <c r="J58" s="52">
        <v>4.6429999999999999E-2</v>
      </c>
      <c r="L58" s="58" t="s">
        <v>16</v>
      </c>
      <c r="M58" s="55">
        <v>0</v>
      </c>
      <c r="N58" s="52">
        <v>0.71830000000000005</v>
      </c>
      <c r="O58" s="52">
        <v>1.5610000000000001E-2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C3:P51"/>
  <sheetViews>
    <sheetView topLeftCell="B13" zoomScale="85" zoomScaleNormal="85" workbookViewId="0">
      <selection activeCell="M49" sqref="M49"/>
    </sheetView>
  </sheetViews>
  <sheetFormatPr defaultColWidth="9" defaultRowHeight="16.5" customHeight="1" x14ac:dyDescent="0.25"/>
  <cols>
    <col min="1" max="2" width="9" style="52"/>
    <col min="3" max="3" width="16.125" style="52" customWidth="1"/>
    <col min="4" max="4" width="11.75" style="52" customWidth="1"/>
    <col min="5" max="5" width="8.75" style="52" customWidth="1"/>
    <col min="6" max="6" width="8.125" style="52" customWidth="1"/>
    <col min="7" max="7" width="12" style="52" customWidth="1"/>
    <col min="8" max="8" width="9" style="52" customWidth="1"/>
    <col min="9" max="9" width="8.625" style="52" customWidth="1"/>
    <col min="10" max="10" width="11.75" style="52" customWidth="1"/>
    <col min="11" max="11" width="8.375" style="52" customWidth="1"/>
    <col min="12" max="12" width="8" style="52" customWidth="1"/>
    <col min="13" max="13" width="21.625" style="52" customWidth="1"/>
    <col min="14" max="14" width="15.375" style="52" customWidth="1"/>
    <col min="15" max="16" width="15" style="56" customWidth="1"/>
    <col min="17" max="16384" width="9" style="52"/>
  </cols>
  <sheetData>
    <row r="3" spans="3:12" ht="16.5" customHeight="1" x14ac:dyDescent="0.25">
      <c r="C3" s="52" t="s">
        <v>44</v>
      </c>
    </row>
    <row r="5" spans="3:12" ht="16.5" customHeight="1" x14ac:dyDescent="0.25">
      <c r="C5" s="168" t="s">
        <v>12</v>
      </c>
      <c r="D5" s="166" t="s">
        <v>10</v>
      </c>
      <c r="E5" s="167"/>
      <c r="F5" s="167"/>
      <c r="G5" s="166" t="s">
        <v>11</v>
      </c>
      <c r="H5" s="167"/>
      <c r="I5" s="167"/>
      <c r="J5" s="166" t="s">
        <v>1</v>
      </c>
      <c r="K5" s="167"/>
      <c r="L5" s="167"/>
    </row>
    <row r="6" spans="3:12" ht="16.5" customHeight="1" x14ac:dyDescent="0.25">
      <c r="C6" s="169"/>
      <c r="D6" s="62" t="s">
        <v>4</v>
      </c>
      <c r="E6" s="62" t="s">
        <v>6</v>
      </c>
      <c r="F6" s="62" t="s">
        <v>32</v>
      </c>
      <c r="G6" s="62" t="s">
        <v>4</v>
      </c>
      <c r="H6" s="62" t="s">
        <v>6</v>
      </c>
      <c r="I6" s="62" t="s">
        <v>32</v>
      </c>
      <c r="J6" s="62" t="s">
        <v>4</v>
      </c>
      <c r="K6" s="62" t="s">
        <v>6</v>
      </c>
      <c r="L6" s="62" t="s">
        <v>32</v>
      </c>
    </row>
    <row r="7" spans="3:12" ht="16.5" customHeight="1" x14ac:dyDescent="0.25">
      <c r="C7" s="54" t="s">
        <v>31</v>
      </c>
      <c r="D7" s="62">
        <v>0</v>
      </c>
      <c r="E7" s="62"/>
      <c r="F7" s="62"/>
      <c r="G7" s="62">
        <v>0</v>
      </c>
      <c r="H7" s="62"/>
      <c r="I7" s="62"/>
      <c r="J7" s="62">
        <v>0</v>
      </c>
      <c r="K7" s="62"/>
      <c r="L7" s="62"/>
    </row>
    <row r="8" spans="3:12" ht="16.5" customHeight="1" x14ac:dyDescent="0.25">
      <c r="C8" s="63" t="s">
        <v>6</v>
      </c>
      <c r="D8" s="62">
        <v>0</v>
      </c>
      <c r="E8" s="62">
        <v>0</v>
      </c>
      <c r="F8" s="62"/>
      <c r="G8" s="62">
        <v>0</v>
      </c>
      <c r="H8" s="62">
        <v>0.13328000000000001</v>
      </c>
      <c r="I8" s="62"/>
      <c r="J8" s="62">
        <v>0</v>
      </c>
      <c r="K8" s="62">
        <v>0.2732</v>
      </c>
      <c r="L8" s="62"/>
    </row>
    <row r="9" spans="3:12" ht="16.5" customHeight="1" x14ac:dyDescent="0.25">
      <c r="C9" s="63" t="s">
        <v>32</v>
      </c>
      <c r="D9" s="62">
        <v>0</v>
      </c>
      <c r="E9" s="62">
        <v>0.36469578219999998</v>
      </c>
      <c r="F9" s="62"/>
      <c r="G9" s="62">
        <v>0</v>
      </c>
      <c r="H9" s="62">
        <v>0.24554999999999999</v>
      </c>
      <c r="I9" s="62">
        <v>9.0299999999999998E-3</v>
      </c>
      <c r="J9" s="62">
        <v>0</v>
      </c>
      <c r="K9" s="62">
        <v>0.11358</v>
      </c>
      <c r="L9" s="62">
        <v>2.9569999999999999E-2</v>
      </c>
    </row>
    <row r="10" spans="3:12" ht="16.5" customHeight="1" x14ac:dyDescent="0.25">
      <c r="C10" s="54"/>
      <c r="D10" s="62" t="s">
        <v>31</v>
      </c>
      <c r="E10" s="62" t="s">
        <v>5</v>
      </c>
      <c r="F10" s="62" t="s">
        <v>8</v>
      </c>
      <c r="G10" s="62" t="s">
        <v>31</v>
      </c>
      <c r="H10" s="62" t="s">
        <v>5</v>
      </c>
      <c r="I10" s="62" t="s">
        <v>8</v>
      </c>
      <c r="J10" s="62" t="s">
        <v>31</v>
      </c>
      <c r="K10" s="62" t="s">
        <v>5</v>
      </c>
      <c r="L10" s="62" t="s">
        <v>8</v>
      </c>
    </row>
    <row r="11" spans="3:12" ht="16.5" customHeight="1" x14ac:dyDescent="0.25">
      <c r="C11" s="54" t="s">
        <v>5</v>
      </c>
      <c r="D11" s="62">
        <v>0</v>
      </c>
      <c r="E11" s="62"/>
      <c r="F11" s="62"/>
      <c r="G11" s="62">
        <v>1.4599999999999999E-3</v>
      </c>
      <c r="H11" s="62"/>
      <c r="I11" s="62"/>
      <c r="J11" s="62">
        <v>2.0840000000000001E-2</v>
      </c>
      <c r="K11" s="62"/>
      <c r="L11" s="62"/>
    </row>
    <row r="12" spans="3:12" ht="16.5" customHeight="1" x14ac:dyDescent="0.25">
      <c r="C12" s="63" t="s">
        <v>8</v>
      </c>
      <c r="D12" s="62">
        <v>0</v>
      </c>
      <c r="E12" s="62">
        <v>1.7000000000000001E-2</v>
      </c>
      <c r="F12" s="62"/>
      <c r="G12" s="62">
        <v>2.3000000000000001E-4</v>
      </c>
      <c r="H12" s="62">
        <v>0.2009</v>
      </c>
      <c r="I12" s="62"/>
      <c r="J12" s="62">
        <v>1.1849999999999999E-2</v>
      </c>
      <c r="K12" s="62">
        <v>0.39846999999999999</v>
      </c>
      <c r="L12" s="62"/>
    </row>
    <row r="13" spans="3:12" ht="16.5" customHeight="1" x14ac:dyDescent="0.25">
      <c r="C13" s="63" t="s">
        <v>17</v>
      </c>
      <c r="D13" s="62">
        <v>0</v>
      </c>
      <c r="E13" s="62">
        <v>0.91423095239999996</v>
      </c>
      <c r="F13" s="62">
        <v>1.0982868E-3</v>
      </c>
      <c r="G13" s="62">
        <v>5.5160000000000001E-2</v>
      </c>
      <c r="H13" s="62">
        <v>4.0719999999999999E-2</v>
      </c>
      <c r="I13" s="62">
        <v>4.0000000000000002E-4</v>
      </c>
      <c r="J13" s="62">
        <v>0.29979</v>
      </c>
      <c r="K13" s="62">
        <v>8.6999999999999994E-3</v>
      </c>
      <c r="L13" s="62">
        <v>0.39932000000000001</v>
      </c>
    </row>
    <row r="14" spans="3:12" ht="16.5" customHeight="1" x14ac:dyDescent="0.25">
      <c r="C14" s="54"/>
      <c r="D14" s="62" t="s">
        <v>31</v>
      </c>
      <c r="E14" s="62" t="s">
        <v>9</v>
      </c>
      <c r="F14" s="62" t="s">
        <v>15</v>
      </c>
      <c r="G14" s="62" t="s">
        <v>31</v>
      </c>
      <c r="H14" s="62" t="s">
        <v>9</v>
      </c>
      <c r="I14" s="62" t="s">
        <v>15</v>
      </c>
      <c r="J14" s="62" t="s">
        <v>31</v>
      </c>
      <c r="K14" s="62" t="s">
        <v>9</v>
      </c>
      <c r="L14" s="62" t="s">
        <v>15</v>
      </c>
    </row>
    <row r="15" spans="3:12" ht="16.5" customHeight="1" x14ac:dyDescent="0.25">
      <c r="C15" s="63" t="s">
        <v>9</v>
      </c>
      <c r="D15" s="62">
        <v>0</v>
      </c>
      <c r="E15" s="62"/>
      <c r="F15" s="62"/>
      <c r="G15" s="62">
        <v>3.6060000000000002E-2</v>
      </c>
      <c r="H15" s="62"/>
      <c r="I15" s="62"/>
      <c r="J15" s="62">
        <v>4.15E-3</v>
      </c>
      <c r="K15" s="62"/>
      <c r="L15" s="62"/>
    </row>
    <row r="16" spans="3:12" ht="16.5" customHeight="1" x14ac:dyDescent="0.25">
      <c r="C16" s="63" t="s">
        <v>15</v>
      </c>
      <c r="D16" s="62">
        <v>0</v>
      </c>
      <c r="E16" s="62">
        <v>0.14692348399999999</v>
      </c>
      <c r="F16" s="62"/>
      <c r="G16" s="62">
        <v>2.989E-2</v>
      </c>
      <c r="H16" s="62">
        <v>0.53017999999999998</v>
      </c>
      <c r="I16" s="62"/>
      <c r="J16" s="62">
        <v>1.39E-3</v>
      </c>
      <c r="K16" s="62">
        <v>0.28667999999999999</v>
      </c>
      <c r="L16" s="62"/>
    </row>
    <row r="17" spans="3:12" ht="16.5" customHeight="1" x14ac:dyDescent="0.25">
      <c r="C17" s="63" t="s">
        <v>16</v>
      </c>
      <c r="D17" s="62">
        <v>0</v>
      </c>
      <c r="E17" s="62">
        <v>0.59389554170000003</v>
      </c>
      <c r="F17" s="62">
        <v>9.3412213100000002E-2</v>
      </c>
      <c r="G17" s="62">
        <v>9.6589999999999995E-2</v>
      </c>
      <c r="H17" s="62">
        <v>0.40783000000000003</v>
      </c>
      <c r="I17" s="62">
        <v>2.69E-2</v>
      </c>
      <c r="J17" s="62">
        <v>4.1309999999999999E-2</v>
      </c>
      <c r="K17" s="62">
        <v>0.15847</v>
      </c>
      <c r="L17" s="62">
        <v>4.79E-3</v>
      </c>
    </row>
    <row r="18" spans="3:12" ht="16.5" customHeight="1" x14ac:dyDescent="0.25">
      <c r="D18" s="61"/>
      <c r="E18" s="61"/>
      <c r="F18" s="61"/>
      <c r="G18" s="61"/>
      <c r="H18" s="61"/>
      <c r="I18" s="61"/>
      <c r="J18" s="61"/>
      <c r="K18" s="61"/>
      <c r="L18" s="61"/>
    </row>
    <row r="19" spans="3:12" ht="16.5" customHeight="1" x14ac:dyDescent="0.25">
      <c r="D19" s="61"/>
      <c r="E19" s="61"/>
      <c r="F19" s="61"/>
      <c r="G19" s="61"/>
      <c r="H19" s="61"/>
      <c r="I19" s="61"/>
      <c r="J19" s="61"/>
      <c r="K19" s="61"/>
      <c r="L19" s="61"/>
    </row>
    <row r="20" spans="3:12" ht="16.5" customHeight="1" x14ac:dyDescent="0.25">
      <c r="D20" s="61"/>
      <c r="E20" s="61"/>
      <c r="F20" s="61"/>
      <c r="G20" s="61"/>
      <c r="H20" s="61"/>
      <c r="I20" s="61"/>
      <c r="J20" s="61"/>
      <c r="K20" s="61"/>
      <c r="L20" s="61"/>
    </row>
    <row r="21" spans="3:12" ht="16.5" customHeight="1" x14ac:dyDescent="0.25">
      <c r="D21" s="61"/>
      <c r="E21" s="61"/>
      <c r="F21" s="61"/>
      <c r="G21" s="61"/>
      <c r="H21" s="61"/>
      <c r="I21" s="61"/>
      <c r="J21" s="61"/>
      <c r="K21" s="61"/>
      <c r="L21" s="61"/>
    </row>
    <row r="22" spans="3:12" ht="16.5" customHeight="1" x14ac:dyDescent="0.25">
      <c r="C22" s="170" t="s">
        <v>13</v>
      </c>
      <c r="D22" s="166" t="s">
        <v>10</v>
      </c>
      <c r="E22" s="167"/>
      <c r="F22" s="167"/>
      <c r="G22" s="166" t="s">
        <v>11</v>
      </c>
      <c r="H22" s="167"/>
      <c r="I22" s="167"/>
      <c r="J22" s="166" t="s">
        <v>1</v>
      </c>
      <c r="K22" s="167"/>
      <c r="L22" s="167"/>
    </row>
    <row r="23" spans="3:12" ht="16.5" customHeight="1" x14ac:dyDescent="0.25">
      <c r="C23" s="171"/>
      <c r="D23" s="62" t="s">
        <v>4</v>
      </c>
      <c r="E23" s="62" t="s">
        <v>6</v>
      </c>
      <c r="F23" s="62" t="s">
        <v>32</v>
      </c>
      <c r="G23" s="62" t="s">
        <v>4</v>
      </c>
      <c r="H23" s="62" t="s">
        <v>6</v>
      </c>
      <c r="I23" s="62" t="s">
        <v>32</v>
      </c>
      <c r="J23" s="62" t="s">
        <v>4</v>
      </c>
      <c r="K23" s="62" t="s">
        <v>6</v>
      </c>
      <c r="L23" s="62" t="s">
        <v>32</v>
      </c>
    </row>
    <row r="24" spans="3:12" ht="16.5" customHeight="1" x14ac:dyDescent="0.25">
      <c r="C24" s="54" t="s">
        <v>31</v>
      </c>
      <c r="D24" s="62">
        <v>0</v>
      </c>
      <c r="E24" s="62"/>
      <c r="F24" s="62"/>
      <c r="G24" s="62">
        <v>0</v>
      </c>
      <c r="H24" s="62"/>
      <c r="I24" s="62"/>
      <c r="J24" s="62">
        <v>0</v>
      </c>
      <c r="K24" s="62"/>
      <c r="L24" s="62"/>
    </row>
    <row r="25" spans="3:12" ht="16.5" customHeight="1" x14ac:dyDescent="0.25">
      <c r="C25" s="63" t="s">
        <v>6</v>
      </c>
      <c r="D25" s="62">
        <v>0</v>
      </c>
      <c r="E25" s="62">
        <v>6.4000000000000005E-4</v>
      </c>
      <c r="F25" s="62"/>
      <c r="G25" s="62">
        <v>0</v>
      </c>
      <c r="H25" s="62">
        <v>1.9369999999999998E-2</v>
      </c>
      <c r="I25" s="62"/>
      <c r="J25" s="62">
        <v>0</v>
      </c>
      <c r="K25" s="62">
        <v>7.8530000000000003E-2</v>
      </c>
      <c r="L25" s="62"/>
    </row>
    <row r="26" spans="3:12" ht="16.5" customHeight="1" x14ac:dyDescent="0.25">
      <c r="C26" s="63" t="s">
        <v>32</v>
      </c>
      <c r="D26" s="62">
        <v>0</v>
      </c>
      <c r="E26" s="62">
        <v>0.49375000000000002</v>
      </c>
      <c r="F26" s="62">
        <v>1.2E-4</v>
      </c>
      <c r="G26" s="62">
        <v>0</v>
      </c>
      <c r="H26" s="62">
        <v>0.67976000000000003</v>
      </c>
      <c r="I26" s="62">
        <v>3.8999999999999999E-4</v>
      </c>
      <c r="J26" s="62">
        <v>0</v>
      </c>
      <c r="K26" s="62">
        <v>0.49835000000000002</v>
      </c>
      <c r="L26" s="62">
        <v>2.32E-3</v>
      </c>
    </row>
    <row r="27" spans="3:12" ht="16.5" customHeight="1" x14ac:dyDescent="0.25">
      <c r="C27" s="54"/>
      <c r="D27" s="62" t="s">
        <v>31</v>
      </c>
      <c r="E27" s="62" t="s">
        <v>5</v>
      </c>
      <c r="F27" s="62" t="s">
        <v>8</v>
      </c>
      <c r="G27" s="62" t="s">
        <v>31</v>
      </c>
      <c r="H27" s="62" t="s">
        <v>5</v>
      </c>
      <c r="I27" s="62" t="s">
        <v>8</v>
      </c>
      <c r="J27" s="62" t="s">
        <v>31</v>
      </c>
      <c r="K27" s="62" t="s">
        <v>5</v>
      </c>
      <c r="L27" s="62" t="s">
        <v>8</v>
      </c>
    </row>
    <row r="28" spans="3:12" ht="16.5" customHeight="1" x14ac:dyDescent="0.25">
      <c r="C28" s="54" t="s">
        <v>5</v>
      </c>
      <c r="D28" s="62">
        <v>6.9999999999999994E-5</v>
      </c>
      <c r="E28" s="62"/>
      <c r="F28" s="62"/>
      <c r="G28" s="62">
        <v>1.0300000000000001E-3</v>
      </c>
      <c r="H28" s="62"/>
      <c r="I28" s="62"/>
      <c r="J28" s="62">
        <v>2.913E-2</v>
      </c>
      <c r="K28" s="62"/>
      <c r="L28" s="62"/>
    </row>
    <row r="29" spans="3:12" ht="16.5" customHeight="1" x14ac:dyDescent="0.25">
      <c r="C29" s="63" t="s">
        <v>8</v>
      </c>
      <c r="D29" s="62">
        <v>0</v>
      </c>
      <c r="E29" s="62">
        <v>9.9100000000000004E-3</v>
      </c>
      <c r="F29" s="62"/>
      <c r="G29" s="62">
        <v>0</v>
      </c>
      <c r="H29" s="62">
        <v>2.1420000000000002E-2</v>
      </c>
      <c r="I29" s="62"/>
      <c r="J29" s="62">
        <v>6.8999999999999997E-4</v>
      </c>
      <c r="K29" s="62">
        <v>0.13633999999999999</v>
      </c>
      <c r="L29" s="62"/>
    </row>
    <row r="30" spans="3:12" ht="16.5" customHeight="1" x14ac:dyDescent="0.25">
      <c r="C30" s="63" t="s">
        <v>17</v>
      </c>
      <c r="D30" s="62">
        <v>0</v>
      </c>
      <c r="E30" s="62">
        <v>0.7429</v>
      </c>
      <c r="F30" s="62">
        <v>7.6999999999999996E-4</v>
      </c>
      <c r="G30" s="62">
        <v>3.3800000000000002E-3</v>
      </c>
      <c r="H30" s="62">
        <v>0.43595</v>
      </c>
      <c r="I30" s="62">
        <v>5.0000000000000002E-5</v>
      </c>
      <c r="J30" s="62">
        <v>0.19012000000000001</v>
      </c>
      <c r="K30" s="62">
        <v>0.22731999999999999</v>
      </c>
      <c r="L30" s="62">
        <v>2.64E-3</v>
      </c>
    </row>
    <row r="31" spans="3:12" ht="16.5" customHeight="1" x14ac:dyDescent="0.25">
      <c r="C31" s="54"/>
      <c r="D31" s="62" t="s">
        <v>31</v>
      </c>
      <c r="E31" s="62" t="s">
        <v>9</v>
      </c>
      <c r="F31" s="62" t="s">
        <v>15</v>
      </c>
      <c r="G31" s="62" t="s">
        <v>31</v>
      </c>
      <c r="H31" s="62" t="s">
        <v>9</v>
      </c>
      <c r="I31" s="62" t="s">
        <v>15</v>
      </c>
      <c r="J31" s="62" t="s">
        <v>31</v>
      </c>
      <c r="K31" s="62" t="s">
        <v>9</v>
      </c>
      <c r="L31" s="62" t="s">
        <v>15</v>
      </c>
    </row>
    <row r="32" spans="3:12" ht="16.5" customHeight="1" x14ac:dyDescent="0.25">
      <c r="C32" s="63" t="s">
        <v>9</v>
      </c>
      <c r="D32" s="62">
        <v>3.0000000000000001E-5</v>
      </c>
      <c r="E32" s="62"/>
      <c r="F32" s="62"/>
      <c r="G32" s="62">
        <v>3.3500000000000001E-3</v>
      </c>
      <c r="H32" s="62"/>
      <c r="I32" s="62"/>
      <c r="J32" s="62">
        <v>6.8000000000000005E-4</v>
      </c>
      <c r="K32" s="62"/>
      <c r="L32" s="62"/>
    </row>
    <row r="33" spans="3:12" ht="16.5" customHeight="1" x14ac:dyDescent="0.25">
      <c r="C33" s="63" t="s">
        <v>15</v>
      </c>
      <c r="D33" s="62">
        <v>0</v>
      </c>
      <c r="E33" s="62">
        <v>5.1360000000000003E-2</v>
      </c>
      <c r="F33" s="62"/>
      <c r="G33" s="62">
        <v>1.0399999999999999E-3</v>
      </c>
      <c r="H33" s="62">
        <v>0.33333000000000002</v>
      </c>
      <c r="I33" s="62"/>
      <c r="J33" s="62">
        <v>1.2E-4</v>
      </c>
      <c r="K33" s="62">
        <v>0.24277000000000001</v>
      </c>
      <c r="L33" s="62"/>
    </row>
    <row r="34" spans="3:12" ht="16.5" customHeight="1" x14ac:dyDescent="0.25">
      <c r="C34" s="63" t="s">
        <v>16</v>
      </c>
      <c r="D34" s="62">
        <v>0</v>
      </c>
      <c r="E34" s="62">
        <v>0</v>
      </c>
      <c r="F34" s="62">
        <v>2.3570000000000001E-2</v>
      </c>
      <c r="G34" s="62">
        <v>8.26E-3</v>
      </c>
      <c r="H34" s="62">
        <v>0.92205999999999999</v>
      </c>
      <c r="I34" s="62">
        <v>3.9039999999999998E-2</v>
      </c>
      <c r="J34" s="62">
        <v>2.2300000000000002E-3</v>
      </c>
      <c r="K34" s="62">
        <v>0.66234999999999999</v>
      </c>
      <c r="L34" s="62">
        <v>3.057E-2</v>
      </c>
    </row>
    <row r="35" spans="3:12" ht="16.5" customHeight="1" x14ac:dyDescent="0.25">
      <c r="D35" s="61"/>
      <c r="E35" s="61"/>
      <c r="F35" s="61"/>
      <c r="G35" s="61"/>
      <c r="H35" s="61"/>
      <c r="I35" s="61"/>
      <c r="J35" s="61"/>
      <c r="K35" s="61"/>
      <c r="L35" s="61"/>
    </row>
    <row r="36" spans="3:12" ht="16.5" customHeight="1" x14ac:dyDescent="0.25">
      <c r="D36" s="61"/>
      <c r="E36" s="61"/>
      <c r="F36" s="61"/>
      <c r="G36" s="61"/>
      <c r="H36" s="61"/>
      <c r="I36" s="61"/>
      <c r="J36" s="61"/>
      <c r="K36" s="61"/>
      <c r="L36" s="61"/>
    </row>
    <row r="37" spans="3:12" ht="16.5" customHeight="1" x14ac:dyDescent="0.25">
      <c r="D37" s="61"/>
      <c r="E37" s="61"/>
      <c r="F37" s="61"/>
      <c r="G37" s="61"/>
      <c r="H37" s="61"/>
      <c r="I37" s="61"/>
      <c r="J37" s="61"/>
      <c r="K37" s="61"/>
      <c r="L37" s="61"/>
    </row>
    <row r="38" spans="3:12" ht="16.5" customHeight="1" x14ac:dyDescent="0.25">
      <c r="D38" s="61"/>
      <c r="E38" s="61"/>
      <c r="F38" s="61"/>
      <c r="G38" s="61"/>
      <c r="H38" s="61"/>
      <c r="I38" s="61"/>
      <c r="J38" s="61"/>
      <c r="K38" s="61"/>
      <c r="L38" s="61"/>
    </row>
    <row r="39" spans="3:12" ht="16.5" customHeight="1" x14ac:dyDescent="0.25">
      <c r="C39" s="170" t="s">
        <v>14</v>
      </c>
      <c r="D39" s="166" t="s">
        <v>10</v>
      </c>
      <c r="E39" s="167"/>
      <c r="F39" s="167"/>
      <c r="G39" s="166" t="s">
        <v>11</v>
      </c>
      <c r="H39" s="167"/>
      <c r="I39" s="167"/>
      <c r="J39" s="166" t="s">
        <v>1</v>
      </c>
      <c r="K39" s="167"/>
      <c r="L39" s="167"/>
    </row>
    <row r="40" spans="3:12" ht="16.5" customHeight="1" x14ac:dyDescent="0.25">
      <c r="C40" s="171"/>
      <c r="D40" s="62" t="s">
        <v>4</v>
      </c>
      <c r="E40" s="62" t="s">
        <v>6</v>
      </c>
      <c r="F40" s="62" t="s">
        <v>32</v>
      </c>
      <c r="G40" s="62" t="s">
        <v>4</v>
      </c>
      <c r="H40" s="62" t="s">
        <v>6</v>
      </c>
      <c r="I40" s="62" t="s">
        <v>32</v>
      </c>
      <c r="J40" s="62" t="s">
        <v>4</v>
      </c>
      <c r="K40" s="62" t="s">
        <v>6</v>
      </c>
      <c r="L40" s="62" t="s">
        <v>32</v>
      </c>
    </row>
    <row r="41" spans="3:12" ht="16.5" customHeight="1" x14ac:dyDescent="0.25">
      <c r="C41" s="54" t="s">
        <v>31</v>
      </c>
      <c r="D41" s="62">
        <v>0</v>
      </c>
      <c r="E41" s="62"/>
      <c r="F41" s="62"/>
      <c r="G41" s="62">
        <v>0</v>
      </c>
      <c r="H41" s="62"/>
      <c r="I41" s="62"/>
      <c r="J41" s="62">
        <v>0</v>
      </c>
      <c r="K41" s="62"/>
      <c r="L41" s="62"/>
    </row>
    <row r="42" spans="3:12" ht="16.5" customHeight="1" x14ac:dyDescent="0.25">
      <c r="C42" s="63" t="s">
        <v>6</v>
      </c>
      <c r="D42" s="62">
        <v>0</v>
      </c>
      <c r="E42" s="62">
        <v>1.3699999999999999E-3</v>
      </c>
      <c r="F42" s="62"/>
      <c r="G42" s="62">
        <v>0</v>
      </c>
      <c r="H42" s="62">
        <v>6.3000000000000003E-4</v>
      </c>
      <c r="I42" s="62"/>
      <c r="J42" s="62">
        <v>0</v>
      </c>
      <c r="K42" s="62">
        <v>2.5300000000000001E-3</v>
      </c>
      <c r="L42" s="62"/>
    </row>
    <row r="43" spans="3:12" ht="16.5" customHeight="1" x14ac:dyDescent="0.25">
      <c r="C43" s="63" t="s">
        <v>32</v>
      </c>
      <c r="D43" s="62">
        <v>0</v>
      </c>
      <c r="E43" s="62">
        <v>0.36470000000000002</v>
      </c>
      <c r="F43" s="62">
        <v>1.14E-3</v>
      </c>
      <c r="G43" s="62">
        <v>0</v>
      </c>
      <c r="H43" s="62">
        <v>0.39154</v>
      </c>
      <c r="I43" s="62">
        <v>2.0000000000000002E-5</v>
      </c>
      <c r="J43" s="62">
        <v>0</v>
      </c>
      <c r="K43" s="62">
        <v>0.57884999999999998</v>
      </c>
      <c r="L43" s="62">
        <v>9.3000000000000005E-4</v>
      </c>
    </row>
    <row r="44" spans="3:12" ht="16.5" customHeight="1" x14ac:dyDescent="0.25">
      <c r="C44" s="54"/>
      <c r="D44" s="62" t="s">
        <v>31</v>
      </c>
      <c r="E44" s="62" t="s">
        <v>5</v>
      </c>
      <c r="F44" s="62" t="s">
        <v>8</v>
      </c>
      <c r="G44" s="62" t="s">
        <v>31</v>
      </c>
      <c r="H44" s="62" t="s">
        <v>5</v>
      </c>
      <c r="I44" s="62" t="s">
        <v>8</v>
      </c>
      <c r="J44" s="62" t="s">
        <v>31</v>
      </c>
      <c r="K44" s="62" t="s">
        <v>5</v>
      </c>
      <c r="L44" s="62" t="s">
        <v>8</v>
      </c>
    </row>
    <row r="45" spans="3:12" ht="16.5" customHeight="1" x14ac:dyDescent="0.25">
      <c r="C45" s="54" t="s">
        <v>5</v>
      </c>
      <c r="D45" s="62">
        <v>0</v>
      </c>
      <c r="E45" s="62"/>
      <c r="F45" s="62"/>
      <c r="G45" s="62">
        <v>1.1E-4</v>
      </c>
      <c r="H45" s="62"/>
      <c r="I45" s="62"/>
      <c r="J45" s="62">
        <v>2.5500000000000002E-3</v>
      </c>
      <c r="K45" s="62"/>
      <c r="L45" s="62"/>
    </row>
    <row r="46" spans="3:12" ht="16.5" customHeight="1" x14ac:dyDescent="0.25">
      <c r="C46" s="63" t="s">
        <v>8</v>
      </c>
      <c r="D46" s="62">
        <v>0</v>
      </c>
      <c r="E46" s="62">
        <v>1.7010000000000001E-2</v>
      </c>
      <c r="F46" s="62"/>
      <c r="G46" s="62">
        <v>0</v>
      </c>
      <c r="H46" s="62">
        <v>2.4889999999999999E-2</v>
      </c>
      <c r="I46" s="62"/>
      <c r="J46" s="62">
        <v>0</v>
      </c>
      <c r="K46" s="62">
        <v>7.7700000000000005E-2</v>
      </c>
      <c r="L46" s="62"/>
    </row>
    <row r="47" spans="3:12" ht="16.5" customHeight="1" x14ac:dyDescent="0.25">
      <c r="C47" s="63" t="s">
        <v>17</v>
      </c>
      <c r="D47" s="62">
        <v>0</v>
      </c>
      <c r="E47" s="62">
        <v>0.91422999999999999</v>
      </c>
      <c r="F47" s="62">
        <v>1.1000000000000001E-3</v>
      </c>
      <c r="G47" s="62">
        <v>5.9999999999999995E-4</v>
      </c>
      <c r="H47" s="62">
        <v>0.60770000000000002</v>
      </c>
      <c r="I47" s="62">
        <v>1.0000000000000001E-5</v>
      </c>
      <c r="J47" s="62">
        <v>9.58E-3</v>
      </c>
      <c r="K47" s="62">
        <v>0.65178000000000003</v>
      </c>
      <c r="L47" s="62">
        <v>2.5500000000000002E-3</v>
      </c>
    </row>
    <row r="48" spans="3:12" ht="16.5" customHeight="1" x14ac:dyDescent="0.25">
      <c r="C48" s="54"/>
      <c r="D48" s="62" t="s">
        <v>31</v>
      </c>
      <c r="E48" s="62" t="s">
        <v>9</v>
      </c>
      <c r="F48" s="62" t="s">
        <v>15</v>
      </c>
      <c r="G48" s="62" t="s">
        <v>31</v>
      </c>
      <c r="H48" s="62" t="s">
        <v>9</v>
      </c>
      <c r="I48" s="62" t="s">
        <v>15</v>
      </c>
      <c r="J48" s="62" t="s">
        <v>31</v>
      </c>
      <c r="K48" s="62" t="s">
        <v>9</v>
      </c>
      <c r="L48" s="62" t="s">
        <v>15</v>
      </c>
    </row>
    <row r="49" spans="3:12" ht="16.5" customHeight="1" x14ac:dyDescent="0.25">
      <c r="C49" s="63" t="s">
        <v>9</v>
      </c>
      <c r="D49" s="62">
        <v>0</v>
      </c>
      <c r="E49" s="62"/>
      <c r="F49" s="62"/>
      <c r="G49" s="62">
        <v>4.2000000000000002E-4</v>
      </c>
      <c r="H49" s="62"/>
      <c r="I49" s="62"/>
      <c r="J49" s="62">
        <v>3.0000000000000001E-5</v>
      </c>
      <c r="K49" s="62"/>
      <c r="L49" s="62"/>
    </row>
    <row r="50" spans="3:12" ht="16.5" customHeight="1" x14ac:dyDescent="0.25">
      <c r="C50" s="63" t="s">
        <v>15</v>
      </c>
      <c r="D50" s="62">
        <v>0</v>
      </c>
      <c r="E50" s="62">
        <v>0.14692</v>
      </c>
      <c r="F50" s="62"/>
      <c r="G50" s="62">
        <v>1.2999999999999999E-4</v>
      </c>
      <c r="H50" s="62">
        <v>0.17319000000000001</v>
      </c>
      <c r="I50" s="62"/>
      <c r="J50" s="62">
        <v>0</v>
      </c>
      <c r="K50" s="62">
        <v>0.19222</v>
      </c>
      <c r="L50" s="62"/>
    </row>
    <row r="51" spans="3:12" ht="16.5" customHeight="1" x14ac:dyDescent="0.25">
      <c r="C51" s="63" t="s">
        <v>16</v>
      </c>
      <c r="D51" s="62">
        <v>0</v>
      </c>
      <c r="E51" s="62">
        <v>0.59389999999999998</v>
      </c>
      <c r="F51" s="62">
        <v>9.3410000000000007E-2</v>
      </c>
      <c r="G51" s="62">
        <v>4.8999999999999998E-4</v>
      </c>
      <c r="H51" s="62">
        <v>2.7999999999999998E-4</v>
      </c>
      <c r="I51" s="62">
        <v>4.6429999999999999E-2</v>
      </c>
      <c r="J51" s="62">
        <v>0</v>
      </c>
      <c r="K51" s="62">
        <v>0.71830000000000005</v>
      </c>
      <c r="L51" s="62">
        <v>1.5610000000000001E-2</v>
      </c>
    </row>
  </sheetData>
  <mergeCells count="12">
    <mergeCell ref="D39:F39"/>
    <mergeCell ref="G39:I39"/>
    <mergeCell ref="J39:L39"/>
    <mergeCell ref="C5:C6"/>
    <mergeCell ref="C22:C23"/>
    <mergeCell ref="C39:C40"/>
    <mergeCell ref="D5:F5"/>
    <mergeCell ref="G5:I5"/>
    <mergeCell ref="J5:L5"/>
    <mergeCell ref="D22:F22"/>
    <mergeCell ref="G22:I22"/>
    <mergeCell ref="J22:L2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9:S59"/>
  <sheetViews>
    <sheetView topLeftCell="A16" zoomScale="85" zoomScaleNormal="85" workbookViewId="0">
      <selection activeCell="I49" sqref="I49"/>
    </sheetView>
  </sheetViews>
  <sheetFormatPr defaultColWidth="9.125" defaultRowHeight="15" x14ac:dyDescent="0.25"/>
  <cols>
    <col min="1" max="1" width="9.125" style="52"/>
    <col min="2" max="2" width="17.375" style="52" customWidth="1"/>
    <col min="3" max="3" width="13" style="52" customWidth="1"/>
    <col min="4" max="10" width="9.125" style="52"/>
    <col min="11" max="11" width="17.375" style="52" customWidth="1"/>
    <col min="12" max="16384" width="9.125" style="52"/>
  </cols>
  <sheetData>
    <row r="19" spans="2:19" x14ac:dyDescent="0.25">
      <c r="C19" s="87"/>
      <c r="D19" s="87"/>
      <c r="E19" s="87"/>
      <c r="F19" s="87"/>
    </row>
    <row r="20" spans="2:19" x14ac:dyDescent="0.25">
      <c r="E20" s="52" t="s">
        <v>0</v>
      </c>
      <c r="N20" s="52" t="s">
        <v>18</v>
      </c>
    </row>
    <row r="21" spans="2:19" x14ac:dyDescent="0.25">
      <c r="B21" s="163" t="s">
        <v>12</v>
      </c>
      <c r="C21" s="172"/>
      <c r="D21" s="172"/>
      <c r="E21" s="172"/>
      <c r="F21" s="172"/>
      <c r="G21" s="172"/>
      <c r="H21" s="173"/>
      <c r="K21" s="163" t="s">
        <v>12</v>
      </c>
      <c r="L21" s="172"/>
      <c r="M21" s="172"/>
      <c r="N21" s="172"/>
      <c r="O21" s="172"/>
      <c r="P21" s="172"/>
      <c r="Q21" s="173"/>
      <c r="R21" s="124"/>
      <c r="S21" s="124"/>
    </row>
    <row r="22" spans="2:19" x14ac:dyDescent="0.25">
      <c r="C22" s="51" t="s">
        <v>10</v>
      </c>
      <c r="D22" s="51" t="s">
        <v>19</v>
      </c>
      <c r="E22" s="51" t="s">
        <v>11</v>
      </c>
      <c r="F22" s="51" t="s">
        <v>19</v>
      </c>
      <c r="G22" s="51" t="s">
        <v>1</v>
      </c>
      <c r="H22" s="51" t="s">
        <v>19</v>
      </c>
      <c r="L22" s="51" t="s">
        <v>10</v>
      </c>
      <c r="M22" s="51" t="s">
        <v>19</v>
      </c>
      <c r="N22" s="51" t="s">
        <v>11</v>
      </c>
      <c r="O22" s="51" t="s">
        <v>19</v>
      </c>
      <c r="P22" s="51" t="s">
        <v>1</v>
      </c>
      <c r="Q22" s="51" t="s">
        <v>19</v>
      </c>
      <c r="R22" s="51" t="s">
        <v>2</v>
      </c>
      <c r="S22" s="51" t="s">
        <v>19</v>
      </c>
    </row>
    <row r="23" spans="2:19" x14ac:dyDescent="0.25">
      <c r="B23" s="1" t="s">
        <v>4</v>
      </c>
      <c r="C23" s="47">
        <v>0.33928000000000003</v>
      </c>
      <c r="D23" s="48">
        <v>1</v>
      </c>
      <c r="E23" s="71">
        <v>0.25224000000000002</v>
      </c>
      <c r="F23" s="72">
        <v>1</v>
      </c>
      <c r="G23" s="73">
        <v>0.48337000000000002</v>
      </c>
      <c r="H23" s="72">
        <v>1</v>
      </c>
      <c r="K23" s="1" t="s">
        <v>4</v>
      </c>
      <c r="L23" s="125">
        <v>0.41810999999999998</v>
      </c>
      <c r="M23" s="126">
        <v>10</v>
      </c>
      <c r="N23" s="127">
        <v>0.31658999999999998</v>
      </c>
      <c r="O23" s="128">
        <v>10</v>
      </c>
      <c r="P23" s="129">
        <v>0.54693000000000003</v>
      </c>
      <c r="Q23" s="128">
        <v>10</v>
      </c>
      <c r="R23" s="130"/>
      <c r="S23" s="131"/>
    </row>
    <row r="24" spans="2:19" x14ac:dyDescent="0.25">
      <c r="B24" s="1" t="s">
        <v>31</v>
      </c>
      <c r="C24" s="47">
        <v>0.42714999999999997</v>
      </c>
      <c r="D24" s="48">
        <v>10</v>
      </c>
      <c r="E24" s="71">
        <v>0.34805999999999998</v>
      </c>
      <c r="F24" s="72">
        <v>10</v>
      </c>
      <c r="G24" s="73">
        <v>0.59399000000000002</v>
      </c>
      <c r="H24" s="72">
        <v>9</v>
      </c>
      <c r="K24" s="1" t="s">
        <v>31</v>
      </c>
      <c r="L24" s="125">
        <v>0.38274999999999998</v>
      </c>
      <c r="M24" s="126">
        <v>8</v>
      </c>
      <c r="N24" s="127">
        <v>0.30671999999999999</v>
      </c>
      <c r="O24" s="128">
        <v>8</v>
      </c>
      <c r="P24" s="129">
        <v>0.54561999999999999</v>
      </c>
      <c r="Q24" s="128">
        <v>8</v>
      </c>
      <c r="R24" s="130"/>
      <c r="S24" s="131"/>
    </row>
    <row r="25" spans="2:19" x14ac:dyDescent="0.25">
      <c r="B25" s="1" t="s">
        <v>5</v>
      </c>
      <c r="C25" s="47">
        <v>0.38364999999999999</v>
      </c>
      <c r="D25" s="48">
        <v>7</v>
      </c>
      <c r="E25" s="71">
        <v>0.30947999999999998</v>
      </c>
      <c r="F25" s="72">
        <v>4</v>
      </c>
      <c r="G25" s="73">
        <v>0.55183000000000004</v>
      </c>
      <c r="H25" s="72">
        <v>4</v>
      </c>
      <c r="K25" s="1" t="s">
        <v>5</v>
      </c>
      <c r="L25" s="125">
        <v>0.31607000000000002</v>
      </c>
      <c r="M25" s="126">
        <v>3</v>
      </c>
      <c r="N25" s="127">
        <v>0.29670999999999997</v>
      </c>
      <c r="O25" s="128">
        <v>4</v>
      </c>
      <c r="P25" s="129">
        <v>0.53195999999999999</v>
      </c>
      <c r="Q25" s="128">
        <v>6</v>
      </c>
      <c r="R25" s="130"/>
      <c r="S25" s="131"/>
    </row>
    <row r="26" spans="2:19" x14ac:dyDescent="0.25">
      <c r="B26" s="2" t="s">
        <v>7</v>
      </c>
      <c r="C26" s="47">
        <v>0.41435</v>
      </c>
      <c r="D26" s="48">
        <v>9</v>
      </c>
      <c r="E26" s="71">
        <v>0.34051999999999999</v>
      </c>
      <c r="F26" s="72">
        <v>9</v>
      </c>
      <c r="G26" s="73">
        <v>0.57394999999999996</v>
      </c>
      <c r="H26" s="72">
        <v>7</v>
      </c>
      <c r="K26" s="2" t="s">
        <v>7</v>
      </c>
      <c r="L26" s="125">
        <v>0.38638</v>
      </c>
      <c r="M26" s="126">
        <v>9</v>
      </c>
      <c r="N26" s="127">
        <v>0.30712</v>
      </c>
      <c r="O26" s="128">
        <v>9</v>
      </c>
      <c r="P26" s="129">
        <v>0.54569999999999996</v>
      </c>
      <c r="Q26" s="128">
        <v>9</v>
      </c>
      <c r="R26" s="130"/>
      <c r="S26" s="131"/>
    </row>
    <row r="27" spans="2:19" x14ac:dyDescent="0.25">
      <c r="B27" s="2" t="s">
        <v>6</v>
      </c>
      <c r="C27" s="47">
        <v>0.39728000000000002</v>
      </c>
      <c r="D27" s="48">
        <v>8</v>
      </c>
      <c r="E27" s="71">
        <v>0.32506000000000002</v>
      </c>
      <c r="F27" s="72">
        <v>7</v>
      </c>
      <c r="G27" s="73">
        <v>0.55901999999999996</v>
      </c>
      <c r="H27" s="72">
        <v>5</v>
      </c>
      <c r="K27" s="2" t="s">
        <v>6</v>
      </c>
      <c r="L27" s="125">
        <v>0.36496000000000001</v>
      </c>
      <c r="M27" s="126">
        <v>6</v>
      </c>
      <c r="N27" s="127">
        <v>0.29732999999999998</v>
      </c>
      <c r="O27" s="128">
        <v>6</v>
      </c>
      <c r="P27" s="129">
        <v>0.52737000000000001</v>
      </c>
      <c r="Q27" s="128">
        <v>4</v>
      </c>
      <c r="R27" s="130"/>
      <c r="S27" s="131"/>
    </row>
    <row r="28" spans="2:19" x14ac:dyDescent="0.25">
      <c r="B28" s="2" t="s">
        <v>8</v>
      </c>
      <c r="C28" s="47">
        <v>0.36842000000000003</v>
      </c>
      <c r="D28" s="48">
        <v>5</v>
      </c>
      <c r="E28" s="71">
        <v>0.29998000000000002</v>
      </c>
      <c r="F28" s="72">
        <v>2</v>
      </c>
      <c r="G28" s="73">
        <v>0.53742000000000001</v>
      </c>
      <c r="H28" s="72">
        <v>3</v>
      </c>
      <c r="K28" s="2" t="s">
        <v>8</v>
      </c>
      <c r="L28" s="125">
        <v>0.30735000000000001</v>
      </c>
      <c r="M28" s="126">
        <v>1</v>
      </c>
      <c r="N28" s="127">
        <v>0.29059000000000001</v>
      </c>
      <c r="O28" s="128">
        <v>1</v>
      </c>
      <c r="P28" s="129">
        <v>0.52268999999999999</v>
      </c>
      <c r="Q28" s="128">
        <v>2</v>
      </c>
      <c r="R28" s="129"/>
      <c r="S28" s="128"/>
    </row>
    <row r="29" spans="2:19" x14ac:dyDescent="0.25">
      <c r="B29" s="2" t="s">
        <v>17</v>
      </c>
      <c r="C29" s="47">
        <v>0.36919999999999997</v>
      </c>
      <c r="D29" s="48">
        <v>6</v>
      </c>
      <c r="E29" s="71">
        <v>0.30031000000000002</v>
      </c>
      <c r="F29" s="72">
        <v>3</v>
      </c>
      <c r="G29" s="73">
        <v>0.53451000000000004</v>
      </c>
      <c r="H29" s="72">
        <v>2</v>
      </c>
      <c r="K29" s="2" t="s">
        <v>17</v>
      </c>
      <c r="L29" s="125">
        <v>0.31553999999999999</v>
      </c>
      <c r="M29" s="126">
        <v>2</v>
      </c>
      <c r="N29" s="127">
        <v>0.29779</v>
      </c>
      <c r="O29" s="128">
        <v>7</v>
      </c>
      <c r="P29" s="129">
        <v>0.53702000000000005</v>
      </c>
      <c r="Q29" s="128">
        <v>7</v>
      </c>
      <c r="R29" s="130"/>
      <c r="S29" s="131"/>
    </row>
    <row r="30" spans="2:19" x14ac:dyDescent="0.25">
      <c r="B30" s="2" t="s">
        <v>9</v>
      </c>
      <c r="C30" s="47">
        <v>0.36763000000000001</v>
      </c>
      <c r="D30" s="48">
        <v>4</v>
      </c>
      <c r="E30" s="71">
        <v>0.32643</v>
      </c>
      <c r="F30" s="72">
        <v>8</v>
      </c>
      <c r="G30" s="73">
        <v>0.59899000000000002</v>
      </c>
      <c r="H30" s="72">
        <v>10</v>
      </c>
      <c r="K30" s="2" t="s">
        <v>9</v>
      </c>
      <c r="L30" s="125">
        <v>0.36360999999999999</v>
      </c>
      <c r="M30" s="126">
        <v>5</v>
      </c>
      <c r="N30" s="127">
        <v>0.29602000000000001</v>
      </c>
      <c r="O30" s="128">
        <v>3</v>
      </c>
      <c r="P30" s="129">
        <v>0.52451999999999999</v>
      </c>
      <c r="Q30" s="128">
        <v>3</v>
      </c>
      <c r="R30" s="130"/>
      <c r="S30" s="131"/>
    </row>
    <row r="31" spans="2:19" x14ac:dyDescent="0.25">
      <c r="B31" s="3" t="s">
        <v>15</v>
      </c>
      <c r="C31" s="47">
        <v>0.35682999999999998</v>
      </c>
      <c r="D31" s="48">
        <v>3</v>
      </c>
      <c r="E31" s="71">
        <v>0.31657999999999997</v>
      </c>
      <c r="F31" s="72">
        <v>6</v>
      </c>
      <c r="G31" s="73">
        <v>0.57489000000000001</v>
      </c>
      <c r="H31" s="72">
        <v>8</v>
      </c>
      <c r="K31" s="3" t="s">
        <v>15</v>
      </c>
      <c r="L31" s="125">
        <v>0.35537999999999997</v>
      </c>
      <c r="M31" s="126">
        <v>4</v>
      </c>
      <c r="N31" s="127">
        <v>0.29243999999999998</v>
      </c>
      <c r="O31" s="128">
        <v>2</v>
      </c>
      <c r="P31" s="129">
        <v>0.51627999999999996</v>
      </c>
      <c r="Q31" s="128">
        <v>1</v>
      </c>
      <c r="R31" s="130"/>
      <c r="S31" s="131"/>
    </row>
    <row r="32" spans="2:19" ht="15.75" thickBot="1" x14ac:dyDescent="0.3">
      <c r="B32" s="2" t="s">
        <v>16</v>
      </c>
      <c r="C32" s="132">
        <v>0.35349000000000003</v>
      </c>
      <c r="D32" s="133">
        <v>2</v>
      </c>
      <c r="E32" s="134">
        <v>0.31609999999999999</v>
      </c>
      <c r="F32" s="135">
        <v>5</v>
      </c>
      <c r="G32" s="136">
        <v>0.57257999999999998</v>
      </c>
      <c r="H32" s="135">
        <v>6</v>
      </c>
      <c r="K32" s="2" t="s">
        <v>16</v>
      </c>
      <c r="L32" s="137">
        <v>0.37846999999999997</v>
      </c>
      <c r="M32" s="138">
        <v>7</v>
      </c>
      <c r="N32" s="139">
        <v>0.29718</v>
      </c>
      <c r="O32" s="140">
        <v>5</v>
      </c>
      <c r="P32" s="141">
        <v>0.52942999999999996</v>
      </c>
      <c r="Q32" s="140">
        <v>5</v>
      </c>
      <c r="R32" s="130"/>
      <c r="S32" s="131"/>
    </row>
    <row r="33" spans="2:19" x14ac:dyDescent="0.25">
      <c r="B33" s="163" t="s">
        <v>13</v>
      </c>
      <c r="C33" s="172"/>
      <c r="D33" s="172"/>
      <c r="E33" s="172"/>
      <c r="F33" s="172"/>
      <c r="G33" s="172"/>
      <c r="H33" s="173"/>
      <c r="K33" s="163" t="s">
        <v>13</v>
      </c>
      <c r="L33" s="172"/>
      <c r="M33" s="172"/>
      <c r="N33" s="172"/>
      <c r="O33" s="172"/>
      <c r="P33" s="172"/>
      <c r="Q33" s="173"/>
      <c r="R33" s="124"/>
      <c r="S33" s="124"/>
    </row>
    <row r="34" spans="2:19" x14ac:dyDescent="0.25">
      <c r="C34" s="51" t="s">
        <v>10</v>
      </c>
      <c r="D34" s="51" t="s">
        <v>19</v>
      </c>
      <c r="E34" s="51" t="s">
        <v>11</v>
      </c>
      <c r="F34" s="51" t="s">
        <v>19</v>
      </c>
      <c r="G34" s="51" t="s">
        <v>1</v>
      </c>
      <c r="H34" s="51" t="s">
        <v>19</v>
      </c>
      <c r="L34" s="51" t="s">
        <v>10</v>
      </c>
      <c r="M34" s="51" t="s">
        <v>19</v>
      </c>
      <c r="N34" s="51" t="s">
        <v>11</v>
      </c>
      <c r="O34" s="51" t="s">
        <v>19</v>
      </c>
      <c r="P34" s="51" t="s">
        <v>1</v>
      </c>
      <c r="Q34" s="51" t="s">
        <v>19</v>
      </c>
      <c r="R34" s="51" t="s">
        <v>2</v>
      </c>
      <c r="S34" s="51" t="s">
        <v>19</v>
      </c>
    </row>
    <row r="35" spans="2:19" x14ac:dyDescent="0.25">
      <c r="B35" s="1" t="s">
        <v>4</v>
      </c>
      <c r="C35" s="47">
        <v>0.42337000000000002</v>
      </c>
      <c r="D35" s="48">
        <v>10</v>
      </c>
      <c r="E35" s="71">
        <v>0.31891000000000003</v>
      </c>
      <c r="F35" s="72">
        <v>1</v>
      </c>
      <c r="G35" s="73">
        <v>0.54920000000000002</v>
      </c>
      <c r="H35" s="72">
        <v>2</v>
      </c>
      <c r="K35" s="1" t="s">
        <v>4</v>
      </c>
      <c r="L35" s="125">
        <v>0.45455000000000001</v>
      </c>
      <c r="M35" s="126">
        <v>10</v>
      </c>
      <c r="N35" s="127">
        <v>0.32506000000000002</v>
      </c>
      <c r="O35" s="128">
        <v>10</v>
      </c>
      <c r="P35" s="129">
        <v>0.56782999999999995</v>
      </c>
      <c r="Q35" s="128">
        <v>8</v>
      </c>
      <c r="R35" s="130"/>
      <c r="S35" s="131"/>
    </row>
    <row r="36" spans="2:19" x14ac:dyDescent="0.25">
      <c r="B36" s="1" t="s">
        <v>31</v>
      </c>
      <c r="C36" s="47">
        <v>0.39319999999999999</v>
      </c>
      <c r="D36" s="48">
        <v>9</v>
      </c>
      <c r="E36" s="71">
        <v>0.35088999999999998</v>
      </c>
      <c r="F36" s="72">
        <v>10</v>
      </c>
      <c r="G36" s="73">
        <v>0.57247000000000003</v>
      </c>
      <c r="H36" s="72">
        <v>7</v>
      </c>
      <c r="K36" s="1" t="s">
        <v>31</v>
      </c>
      <c r="L36" s="125">
        <v>0.35288000000000003</v>
      </c>
      <c r="M36" s="126">
        <v>9</v>
      </c>
      <c r="N36" s="127">
        <v>0.31864999999999999</v>
      </c>
      <c r="O36" s="128">
        <v>9</v>
      </c>
      <c r="P36" s="129">
        <v>0.57716000000000001</v>
      </c>
      <c r="Q36" s="128">
        <v>10</v>
      </c>
      <c r="R36" s="130"/>
      <c r="S36" s="131"/>
    </row>
    <row r="37" spans="2:19" x14ac:dyDescent="0.25">
      <c r="B37" s="1" t="s">
        <v>5</v>
      </c>
      <c r="C37" s="47">
        <v>0.37287999999999999</v>
      </c>
      <c r="D37" s="48">
        <v>5</v>
      </c>
      <c r="E37" s="71">
        <v>0.33334999999999998</v>
      </c>
      <c r="F37" s="72">
        <v>4</v>
      </c>
      <c r="G37" s="73">
        <v>0.55574000000000001</v>
      </c>
      <c r="H37" s="72">
        <v>5</v>
      </c>
      <c r="K37" s="1" t="s">
        <v>5</v>
      </c>
      <c r="L37" s="125">
        <v>0.32390999999999998</v>
      </c>
      <c r="M37" s="126">
        <v>6</v>
      </c>
      <c r="N37" s="127">
        <v>0.30518000000000001</v>
      </c>
      <c r="O37" s="128">
        <v>7</v>
      </c>
      <c r="P37" s="129">
        <v>0.55879999999999996</v>
      </c>
      <c r="Q37" s="128">
        <v>6</v>
      </c>
      <c r="R37" s="130"/>
      <c r="S37" s="131"/>
    </row>
    <row r="38" spans="2:19" x14ac:dyDescent="0.25">
      <c r="B38" s="2" t="s">
        <v>7</v>
      </c>
      <c r="C38" s="47">
        <v>0.38122</v>
      </c>
      <c r="D38" s="48">
        <v>8</v>
      </c>
      <c r="E38" s="71">
        <v>0.34722999999999998</v>
      </c>
      <c r="F38" s="72">
        <v>7</v>
      </c>
      <c r="G38" s="73">
        <v>0.57062000000000002</v>
      </c>
      <c r="H38" s="72">
        <v>6</v>
      </c>
      <c r="K38" s="2" t="s">
        <v>7</v>
      </c>
      <c r="L38" s="125">
        <v>0.34958</v>
      </c>
      <c r="M38" s="126">
        <v>8</v>
      </c>
      <c r="N38" s="127">
        <v>0.31723000000000001</v>
      </c>
      <c r="O38" s="128">
        <v>8</v>
      </c>
      <c r="P38" s="129">
        <v>0.57618000000000003</v>
      </c>
      <c r="Q38" s="128">
        <v>9</v>
      </c>
      <c r="R38" s="130"/>
      <c r="S38" s="131"/>
    </row>
    <row r="39" spans="2:19" x14ac:dyDescent="0.25">
      <c r="B39" s="2" t="s">
        <v>6</v>
      </c>
      <c r="C39" s="47">
        <v>0.37558000000000002</v>
      </c>
      <c r="D39" s="48">
        <v>7</v>
      </c>
      <c r="E39" s="71">
        <v>0.33592</v>
      </c>
      <c r="F39" s="72">
        <v>5</v>
      </c>
      <c r="G39" s="73">
        <v>0.55308000000000002</v>
      </c>
      <c r="H39" s="72">
        <v>3</v>
      </c>
      <c r="K39" s="2" t="s">
        <v>6</v>
      </c>
      <c r="L39" s="125">
        <v>0.33074999999999999</v>
      </c>
      <c r="M39" s="126">
        <v>7</v>
      </c>
      <c r="N39" s="127">
        <v>0.30318000000000001</v>
      </c>
      <c r="O39" s="128">
        <v>5</v>
      </c>
      <c r="P39" s="129">
        <v>0.55017000000000005</v>
      </c>
      <c r="Q39" s="128">
        <v>5</v>
      </c>
      <c r="R39" s="130"/>
      <c r="S39" s="131"/>
    </row>
    <row r="40" spans="2:19" x14ac:dyDescent="0.25">
      <c r="B40" s="2" t="s">
        <v>8</v>
      </c>
      <c r="C40" s="47">
        <v>0.36498000000000003</v>
      </c>
      <c r="D40" s="48">
        <v>3</v>
      </c>
      <c r="E40" s="71">
        <v>0.32713999999999999</v>
      </c>
      <c r="F40" s="72">
        <v>2</v>
      </c>
      <c r="G40" s="73">
        <v>0.54891000000000001</v>
      </c>
      <c r="H40" s="72">
        <v>1</v>
      </c>
      <c r="K40" s="2" t="s">
        <v>8</v>
      </c>
      <c r="L40" s="125">
        <v>0.3075</v>
      </c>
      <c r="M40" s="126">
        <v>1</v>
      </c>
      <c r="N40" s="127">
        <v>0.29332999999999998</v>
      </c>
      <c r="O40" s="128">
        <v>2</v>
      </c>
      <c r="P40" s="129">
        <v>0.54346000000000005</v>
      </c>
      <c r="Q40" s="128">
        <v>3</v>
      </c>
      <c r="R40" s="130"/>
      <c r="S40" s="131"/>
    </row>
    <row r="41" spans="2:19" x14ac:dyDescent="0.25">
      <c r="B41" s="2" t="s">
        <v>17</v>
      </c>
      <c r="C41" s="47">
        <v>0.36401</v>
      </c>
      <c r="D41" s="48">
        <v>1</v>
      </c>
      <c r="E41" s="71">
        <v>0.33013999999999999</v>
      </c>
      <c r="F41" s="72">
        <v>3</v>
      </c>
      <c r="G41" s="73">
        <v>0.55308999999999997</v>
      </c>
      <c r="H41" s="72">
        <v>4</v>
      </c>
      <c r="K41" s="2" t="s">
        <v>17</v>
      </c>
      <c r="L41" s="125">
        <v>0.32007000000000002</v>
      </c>
      <c r="M41" s="126">
        <v>4</v>
      </c>
      <c r="N41" s="127">
        <v>0.30435000000000001</v>
      </c>
      <c r="O41" s="128">
        <v>6</v>
      </c>
      <c r="P41" s="129">
        <v>0.56123000000000001</v>
      </c>
      <c r="Q41" s="128">
        <v>7</v>
      </c>
      <c r="R41" s="130"/>
      <c r="S41" s="131"/>
    </row>
    <row r="42" spans="2:19" x14ac:dyDescent="0.25">
      <c r="B42" s="2" t="s">
        <v>9</v>
      </c>
      <c r="C42" s="47">
        <v>0.37313000000000002</v>
      </c>
      <c r="D42" s="48">
        <v>6</v>
      </c>
      <c r="E42" s="71">
        <v>0.34854000000000002</v>
      </c>
      <c r="F42" s="72">
        <v>9</v>
      </c>
      <c r="G42" s="73">
        <v>0.59987999999999997</v>
      </c>
      <c r="H42" s="72">
        <v>10</v>
      </c>
      <c r="K42" s="2" t="s">
        <v>9</v>
      </c>
      <c r="L42" s="125">
        <v>0.31735999999999998</v>
      </c>
      <c r="M42" s="126">
        <v>3</v>
      </c>
      <c r="N42" s="127">
        <v>0.29858000000000001</v>
      </c>
      <c r="O42" s="128">
        <v>3</v>
      </c>
      <c r="P42" s="129">
        <v>0.54252</v>
      </c>
      <c r="Q42" s="128">
        <v>2</v>
      </c>
      <c r="R42" s="130"/>
      <c r="S42" s="131"/>
    </row>
    <row r="43" spans="2:19" x14ac:dyDescent="0.25">
      <c r="B43" s="3" t="s">
        <v>15</v>
      </c>
      <c r="C43" s="47">
        <v>0.36763000000000001</v>
      </c>
      <c r="D43" s="48">
        <v>4</v>
      </c>
      <c r="E43" s="71">
        <v>0.34286</v>
      </c>
      <c r="F43" s="72">
        <v>6</v>
      </c>
      <c r="G43" s="73">
        <v>0.59272999999999998</v>
      </c>
      <c r="H43" s="72">
        <v>8</v>
      </c>
      <c r="K43" s="3" t="s">
        <v>15</v>
      </c>
      <c r="L43" s="125">
        <v>0.31097999999999998</v>
      </c>
      <c r="M43" s="126">
        <v>2</v>
      </c>
      <c r="N43" s="127">
        <v>0.29318</v>
      </c>
      <c r="O43" s="128">
        <v>1</v>
      </c>
      <c r="P43" s="129">
        <v>0.53232000000000002</v>
      </c>
      <c r="Q43" s="128">
        <v>1</v>
      </c>
      <c r="R43" s="130"/>
      <c r="S43" s="131"/>
    </row>
    <row r="44" spans="2:19" ht="15.75" thickBot="1" x14ac:dyDescent="0.3">
      <c r="B44" s="2" t="s">
        <v>16</v>
      </c>
      <c r="C44" s="49">
        <v>0.36435000000000001</v>
      </c>
      <c r="D44" s="50">
        <v>2</v>
      </c>
      <c r="E44" s="142">
        <v>0.34745999999999999</v>
      </c>
      <c r="F44" s="143">
        <v>8</v>
      </c>
      <c r="G44" s="144">
        <v>0.59897</v>
      </c>
      <c r="H44" s="143">
        <v>9</v>
      </c>
      <c r="K44" s="2" t="s">
        <v>16</v>
      </c>
      <c r="L44" s="137">
        <v>0.32045000000000001</v>
      </c>
      <c r="M44" s="138">
        <v>5</v>
      </c>
      <c r="N44" s="139">
        <v>0.29862</v>
      </c>
      <c r="O44" s="140">
        <v>4</v>
      </c>
      <c r="P44" s="141">
        <v>0.54601</v>
      </c>
      <c r="Q44" s="140">
        <v>4</v>
      </c>
      <c r="R44" s="130"/>
      <c r="S44" s="131"/>
    </row>
    <row r="45" spans="2:19" x14ac:dyDescent="0.25">
      <c r="B45" s="163" t="s">
        <v>14</v>
      </c>
      <c r="C45" s="172"/>
      <c r="D45" s="172"/>
      <c r="E45" s="172"/>
      <c r="F45" s="172"/>
      <c r="G45" s="172"/>
      <c r="H45" s="173"/>
      <c r="K45" s="163" t="s">
        <v>14</v>
      </c>
      <c r="L45" s="172"/>
      <c r="M45" s="172"/>
      <c r="N45" s="172"/>
      <c r="O45" s="172"/>
      <c r="P45" s="172"/>
      <c r="Q45" s="173"/>
      <c r="R45" s="124"/>
      <c r="S45" s="124"/>
    </row>
    <row r="46" spans="2:19" x14ac:dyDescent="0.25">
      <c r="C46" s="51" t="s">
        <v>10</v>
      </c>
      <c r="D46" s="51" t="s">
        <v>19</v>
      </c>
      <c r="E46" s="51" t="s">
        <v>11</v>
      </c>
      <c r="F46" s="51" t="s">
        <v>19</v>
      </c>
      <c r="G46" s="51" t="s">
        <v>1</v>
      </c>
      <c r="H46" s="51" t="s">
        <v>19</v>
      </c>
      <c r="L46" s="51" t="s">
        <v>10</v>
      </c>
      <c r="M46" s="51" t="s">
        <v>19</v>
      </c>
      <c r="N46" s="51" t="s">
        <v>11</v>
      </c>
      <c r="O46" s="51" t="s">
        <v>19</v>
      </c>
      <c r="P46" s="51" t="s">
        <v>1</v>
      </c>
      <c r="Q46" s="51" t="s">
        <v>19</v>
      </c>
      <c r="R46" s="51" t="s">
        <v>2</v>
      </c>
      <c r="S46" s="51" t="s">
        <v>19</v>
      </c>
    </row>
    <row r="47" spans="2:19" x14ac:dyDescent="0.25">
      <c r="B47" s="1" t="s">
        <v>4</v>
      </c>
      <c r="C47" s="71">
        <v>0.46834999999999999</v>
      </c>
      <c r="D47" s="72">
        <v>10</v>
      </c>
      <c r="E47" s="71">
        <v>0.34321000000000002</v>
      </c>
      <c r="F47" s="72">
        <v>2</v>
      </c>
      <c r="G47" s="73">
        <v>0.60568999999999995</v>
      </c>
      <c r="H47" s="72">
        <v>3</v>
      </c>
      <c r="K47" s="1" t="s">
        <v>4</v>
      </c>
      <c r="L47" s="125">
        <v>0.57445999999999997</v>
      </c>
      <c r="M47" s="126">
        <v>10</v>
      </c>
      <c r="N47" s="127">
        <v>0.35176000000000002</v>
      </c>
      <c r="O47" s="128">
        <v>10</v>
      </c>
      <c r="P47" s="129">
        <v>0.62087000000000003</v>
      </c>
      <c r="Q47" s="128">
        <v>10</v>
      </c>
      <c r="R47" s="130"/>
      <c r="S47" s="131"/>
    </row>
    <row r="48" spans="2:19" x14ac:dyDescent="0.25">
      <c r="B48" s="1" t="s">
        <v>31</v>
      </c>
      <c r="C48" s="71">
        <v>0.39559</v>
      </c>
      <c r="D48" s="72">
        <v>9</v>
      </c>
      <c r="E48" s="71">
        <v>0.36196</v>
      </c>
      <c r="F48" s="72">
        <v>8</v>
      </c>
      <c r="G48" s="73">
        <v>0.64065000000000005</v>
      </c>
      <c r="H48" s="72">
        <v>7</v>
      </c>
      <c r="K48" s="1" t="s">
        <v>31</v>
      </c>
      <c r="L48" s="125">
        <v>0.36896000000000001</v>
      </c>
      <c r="M48" s="126">
        <v>9</v>
      </c>
      <c r="N48" s="127">
        <v>0.33307999999999999</v>
      </c>
      <c r="O48" s="128">
        <v>9</v>
      </c>
      <c r="P48" s="129">
        <v>0.61297999999999997</v>
      </c>
      <c r="Q48" s="128">
        <v>9</v>
      </c>
      <c r="R48" s="145"/>
      <c r="S48" s="131"/>
    </row>
    <row r="49" spans="2:19" x14ac:dyDescent="0.25">
      <c r="B49" s="1" t="s">
        <v>5</v>
      </c>
      <c r="C49" s="71">
        <v>0.37701000000000001</v>
      </c>
      <c r="D49" s="72">
        <v>3</v>
      </c>
      <c r="E49" s="71">
        <v>0.34527000000000002</v>
      </c>
      <c r="F49" s="72">
        <v>3</v>
      </c>
      <c r="G49" s="73">
        <v>0.60931999999999997</v>
      </c>
      <c r="H49" s="72">
        <v>4</v>
      </c>
      <c r="K49" s="1" t="s">
        <v>5</v>
      </c>
      <c r="L49" s="125">
        <v>0.34127999999999997</v>
      </c>
      <c r="M49" s="126">
        <v>6</v>
      </c>
      <c r="N49" s="127">
        <v>0.31457000000000002</v>
      </c>
      <c r="O49" s="128">
        <v>7</v>
      </c>
      <c r="P49" s="129">
        <v>0.59067999999999998</v>
      </c>
      <c r="Q49" s="128">
        <v>6</v>
      </c>
      <c r="R49" s="130"/>
      <c r="S49" s="131"/>
    </row>
    <row r="50" spans="2:19" x14ac:dyDescent="0.25">
      <c r="B50" s="2" t="s">
        <v>7</v>
      </c>
      <c r="C50" s="71">
        <v>0.38299</v>
      </c>
      <c r="D50" s="72">
        <v>6</v>
      </c>
      <c r="E50" s="71">
        <v>0.35881000000000002</v>
      </c>
      <c r="F50" s="72">
        <v>7</v>
      </c>
      <c r="G50" s="73">
        <v>0.63600999999999996</v>
      </c>
      <c r="H50" s="72">
        <v>6</v>
      </c>
      <c r="K50" s="2" t="s">
        <v>7</v>
      </c>
      <c r="L50" s="125">
        <v>0.36323</v>
      </c>
      <c r="M50" s="126">
        <v>8</v>
      </c>
      <c r="N50" s="127">
        <v>0.33067000000000002</v>
      </c>
      <c r="O50" s="128">
        <v>8</v>
      </c>
      <c r="P50" s="129">
        <v>0.60726999999999998</v>
      </c>
      <c r="Q50" s="128">
        <v>8</v>
      </c>
      <c r="R50" s="130"/>
      <c r="S50" s="131"/>
    </row>
    <row r="51" spans="2:19" x14ac:dyDescent="0.25">
      <c r="B51" s="2" t="s">
        <v>6</v>
      </c>
      <c r="C51" s="71">
        <v>0.37897999999999998</v>
      </c>
      <c r="D51" s="72">
        <v>4</v>
      </c>
      <c r="E51" s="71">
        <v>0.34808</v>
      </c>
      <c r="F51" s="72">
        <v>5</v>
      </c>
      <c r="G51" s="73">
        <v>0.62031000000000003</v>
      </c>
      <c r="H51" s="72">
        <v>5</v>
      </c>
      <c r="K51" s="2" t="s">
        <v>6</v>
      </c>
      <c r="L51" s="125">
        <v>0.34439999999999998</v>
      </c>
      <c r="M51" s="126">
        <v>7</v>
      </c>
      <c r="N51" s="127">
        <v>0.31447000000000003</v>
      </c>
      <c r="O51" s="128">
        <v>6</v>
      </c>
      <c r="P51" s="129">
        <v>0.57935999999999999</v>
      </c>
      <c r="Q51" s="128">
        <v>4</v>
      </c>
      <c r="R51" s="130"/>
      <c r="S51" s="131"/>
    </row>
    <row r="52" spans="2:19" x14ac:dyDescent="0.25">
      <c r="B52" s="2" t="s">
        <v>8</v>
      </c>
      <c r="C52" s="71">
        <v>0.37069000000000002</v>
      </c>
      <c r="D52" s="72">
        <v>1</v>
      </c>
      <c r="E52" s="71">
        <v>0.34039000000000003</v>
      </c>
      <c r="F52" s="72">
        <v>1</v>
      </c>
      <c r="G52" s="73">
        <v>0.60192000000000001</v>
      </c>
      <c r="H52" s="72">
        <v>1</v>
      </c>
      <c r="K52" s="2" t="s">
        <v>8</v>
      </c>
      <c r="L52" s="125">
        <v>0.32235000000000003</v>
      </c>
      <c r="M52" s="126">
        <v>1</v>
      </c>
      <c r="N52" s="127">
        <v>0.29993999999999998</v>
      </c>
      <c r="O52" s="128">
        <v>1</v>
      </c>
      <c r="P52" s="129">
        <v>0.57242000000000004</v>
      </c>
      <c r="Q52" s="128">
        <v>2</v>
      </c>
      <c r="R52" s="130"/>
      <c r="S52" s="131"/>
    </row>
    <row r="53" spans="2:19" x14ac:dyDescent="0.25">
      <c r="B53" s="2" t="s">
        <v>17</v>
      </c>
      <c r="C53" s="71">
        <v>0.37135000000000001</v>
      </c>
      <c r="D53" s="72">
        <v>2</v>
      </c>
      <c r="E53" s="71">
        <v>0.34542</v>
      </c>
      <c r="F53" s="72">
        <v>4</v>
      </c>
      <c r="G53" s="73">
        <v>0.60536999999999996</v>
      </c>
      <c r="H53" s="72">
        <v>2</v>
      </c>
      <c r="K53" s="2" t="s">
        <v>17</v>
      </c>
      <c r="L53" s="125">
        <v>0.33703</v>
      </c>
      <c r="M53" s="126">
        <v>5</v>
      </c>
      <c r="N53" s="127">
        <v>0.31369000000000002</v>
      </c>
      <c r="O53" s="128">
        <v>3</v>
      </c>
      <c r="P53" s="129">
        <v>0.59443999999999997</v>
      </c>
      <c r="Q53" s="128">
        <v>7</v>
      </c>
      <c r="R53" s="130"/>
      <c r="S53" s="131"/>
    </row>
    <row r="54" spans="2:19" x14ac:dyDescent="0.25">
      <c r="B54" s="2" t="s">
        <v>9</v>
      </c>
      <c r="C54" s="71">
        <v>0.39096999999999998</v>
      </c>
      <c r="D54" s="72">
        <v>8</v>
      </c>
      <c r="E54" s="71">
        <v>0.36342999999999998</v>
      </c>
      <c r="F54" s="72">
        <v>10</v>
      </c>
      <c r="G54" s="73">
        <v>0.64846000000000004</v>
      </c>
      <c r="H54" s="72">
        <v>10</v>
      </c>
      <c r="K54" s="2" t="s">
        <v>9</v>
      </c>
      <c r="L54" s="125">
        <v>0.32696999999999998</v>
      </c>
      <c r="M54" s="126">
        <v>3</v>
      </c>
      <c r="N54" s="127">
        <v>0.31384000000000001</v>
      </c>
      <c r="O54" s="128">
        <v>4</v>
      </c>
      <c r="P54" s="129">
        <v>0.57620000000000005</v>
      </c>
      <c r="Q54" s="128">
        <v>3</v>
      </c>
      <c r="R54" s="130"/>
      <c r="S54" s="131"/>
    </row>
    <row r="55" spans="2:19" x14ac:dyDescent="0.25">
      <c r="B55" s="3" t="s">
        <v>15</v>
      </c>
      <c r="C55" s="71">
        <v>0.38607999999999998</v>
      </c>
      <c r="D55" s="72">
        <v>7</v>
      </c>
      <c r="E55" s="71">
        <v>0.35760999999999998</v>
      </c>
      <c r="F55" s="72">
        <v>6</v>
      </c>
      <c r="G55" s="73">
        <v>0.64232999999999996</v>
      </c>
      <c r="H55" s="72">
        <v>8</v>
      </c>
      <c r="K55" s="3" t="s">
        <v>15</v>
      </c>
      <c r="L55" s="125">
        <v>0.32272000000000001</v>
      </c>
      <c r="M55" s="126">
        <v>2</v>
      </c>
      <c r="N55" s="127">
        <v>0.30869000000000002</v>
      </c>
      <c r="O55" s="128">
        <v>2</v>
      </c>
      <c r="P55" s="129">
        <v>0.56742000000000004</v>
      </c>
      <c r="Q55" s="128">
        <v>1</v>
      </c>
      <c r="R55" s="130"/>
      <c r="S55" s="131"/>
    </row>
    <row r="56" spans="2:19" ht="15.75" thickBot="1" x14ac:dyDescent="0.3">
      <c r="B56" s="2" t="s">
        <v>16</v>
      </c>
      <c r="C56" s="142">
        <v>0.3826</v>
      </c>
      <c r="D56" s="143">
        <v>5</v>
      </c>
      <c r="E56" s="142">
        <v>0.36303000000000002</v>
      </c>
      <c r="F56" s="143">
        <v>9</v>
      </c>
      <c r="G56" s="144">
        <v>0.64541000000000004</v>
      </c>
      <c r="H56" s="143">
        <v>9</v>
      </c>
      <c r="K56" s="2" t="s">
        <v>16</v>
      </c>
      <c r="L56" s="137">
        <v>0.32790999999999998</v>
      </c>
      <c r="M56" s="138">
        <v>4</v>
      </c>
      <c r="N56" s="139">
        <v>0.31435999999999997</v>
      </c>
      <c r="O56" s="140">
        <v>5</v>
      </c>
      <c r="P56" s="141">
        <v>0.57969999999999999</v>
      </c>
      <c r="Q56" s="140">
        <v>5</v>
      </c>
      <c r="R56" s="130"/>
      <c r="S56" s="131"/>
    </row>
    <row r="58" spans="2:19" x14ac:dyDescent="0.25">
      <c r="I58" s="102"/>
      <c r="J58" s="102"/>
    </row>
    <row r="59" spans="2:19" ht="13.5" customHeight="1" x14ac:dyDescent="0.25">
      <c r="I59" s="102"/>
      <c r="J59" s="102"/>
    </row>
  </sheetData>
  <mergeCells count="6">
    <mergeCell ref="B33:H33"/>
    <mergeCell ref="B21:H21"/>
    <mergeCell ref="B45:H45"/>
    <mergeCell ref="K21:Q21"/>
    <mergeCell ref="K33:Q33"/>
    <mergeCell ref="K45:Q45"/>
  </mergeCell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19:S59"/>
  <sheetViews>
    <sheetView topLeftCell="A16" zoomScale="85" zoomScaleNormal="85" workbookViewId="0">
      <selection activeCell="T38" sqref="T38"/>
    </sheetView>
  </sheetViews>
  <sheetFormatPr defaultColWidth="9.125" defaultRowHeight="15" x14ac:dyDescent="0.25"/>
  <cols>
    <col min="1" max="1" width="9.125" style="52"/>
    <col min="2" max="2" width="17.375" style="52" customWidth="1"/>
    <col min="3" max="3" width="13" style="52" customWidth="1"/>
    <col min="4" max="10" width="9.125" style="52"/>
    <col min="11" max="11" width="17.375" style="52" customWidth="1"/>
    <col min="12" max="16384" width="9.125" style="52"/>
  </cols>
  <sheetData>
    <row r="19" spans="2:19" x14ac:dyDescent="0.25">
      <c r="C19" s="87"/>
      <c r="D19" s="87"/>
      <c r="E19" s="87"/>
      <c r="F19" s="87"/>
    </row>
    <row r="20" spans="2:19" x14ac:dyDescent="0.25">
      <c r="E20" s="52" t="s">
        <v>0</v>
      </c>
      <c r="N20" s="52" t="s">
        <v>18</v>
      </c>
    </row>
    <row r="21" spans="2:19" x14ac:dyDescent="0.25">
      <c r="B21" s="163" t="s">
        <v>12</v>
      </c>
      <c r="C21" s="172"/>
      <c r="D21" s="172"/>
      <c r="E21" s="172"/>
      <c r="F21" s="172"/>
      <c r="G21" s="172"/>
      <c r="H21" s="173"/>
      <c r="K21" s="163" t="s">
        <v>12</v>
      </c>
      <c r="L21" s="172"/>
      <c r="M21" s="172"/>
      <c r="N21" s="172"/>
      <c r="O21" s="172"/>
      <c r="P21" s="172"/>
      <c r="Q21" s="173"/>
      <c r="R21" s="124"/>
      <c r="S21" s="124"/>
    </row>
    <row r="22" spans="2:19" x14ac:dyDescent="0.25">
      <c r="C22" s="51" t="s">
        <v>10</v>
      </c>
      <c r="D22" s="51" t="s">
        <v>19</v>
      </c>
      <c r="E22" s="51" t="s">
        <v>11</v>
      </c>
      <c r="F22" s="51" t="s">
        <v>19</v>
      </c>
      <c r="G22" s="51" t="s">
        <v>1</v>
      </c>
      <c r="H22" s="51" t="s">
        <v>19</v>
      </c>
      <c r="L22" s="51" t="s">
        <v>10</v>
      </c>
      <c r="M22" s="51" t="s">
        <v>19</v>
      </c>
      <c r="N22" s="51" t="s">
        <v>11</v>
      </c>
      <c r="O22" s="51" t="s">
        <v>19</v>
      </c>
      <c r="P22" s="51" t="s">
        <v>1</v>
      </c>
      <c r="Q22" s="51" t="s">
        <v>19</v>
      </c>
      <c r="R22" s="51" t="s">
        <v>2</v>
      </c>
      <c r="S22" s="51" t="s">
        <v>19</v>
      </c>
    </row>
    <row r="23" spans="2:19" x14ac:dyDescent="0.25">
      <c r="B23" s="1" t="s">
        <v>4</v>
      </c>
      <c r="C23" s="47">
        <v>0.85758999999999996</v>
      </c>
      <c r="D23" s="48">
        <v>10</v>
      </c>
      <c r="E23" s="37">
        <v>1.3815200000000001</v>
      </c>
      <c r="F23" s="38">
        <v>10</v>
      </c>
      <c r="G23" s="39">
        <v>4.9612100000000003</v>
      </c>
      <c r="H23" s="38">
        <v>10</v>
      </c>
      <c r="K23" s="1" t="s">
        <v>4</v>
      </c>
      <c r="L23" s="25">
        <v>0.65266999999999997</v>
      </c>
      <c r="M23" s="26">
        <v>10</v>
      </c>
      <c r="N23" s="27">
        <v>0.98272999999999999</v>
      </c>
      <c r="O23" s="28">
        <v>10</v>
      </c>
      <c r="P23" s="29">
        <v>3.2354400000000001</v>
      </c>
      <c r="Q23" s="28">
        <v>10</v>
      </c>
      <c r="R23" s="130"/>
      <c r="S23" s="131"/>
    </row>
    <row r="24" spans="2:19" x14ac:dyDescent="0.25">
      <c r="B24" s="1" t="s">
        <v>31</v>
      </c>
      <c r="C24" s="47">
        <v>0.38375999999999999</v>
      </c>
      <c r="D24" s="48">
        <v>1</v>
      </c>
      <c r="E24" s="37">
        <v>0.51670000000000005</v>
      </c>
      <c r="F24" s="38">
        <v>4</v>
      </c>
      <c r="G24" s="39">
        <v>2.64229</v>
      </c>
      <c r="H24" s="38">
        <v>4</v>
      </c>
      <c r="K24" s="1" t="s">
        <v>31</v>
      </c>
      <c r="L24" s="25">
        <v>0.39345999999999998</v>
      </c>
      <c r="M24" s="26">
        <v>8</v>
      </c>
      <c r="N24" s="27">
        <v>0.37375000000000003</v>
      </c>
      <c r="O24" s="28">
        <v>7</v>
      </c>
      <c r="P24" s="29">
        <v>2.0253100000000002</v>
      </c>
      <c r="Q24" s="28">
        <v>4</v>
      </c>
      <c r="R24" s="130"/>
      <c r="S24" s="131"/>
    </row>
    <row r="25" spans="2:19" x14ac:dyDescent="0.25">
      <c r="B25" s="1" t="s">
        <v>5</v>
      </c>
      <c r="C25" s="47">
        <v>0.4178</v>
      </c>
      <c r="D25" s="48">
        <v>8</v>
      </c>
      <c r="E25" s="37">
        <v>0.54127999999999998</v>
      </c>
      <c r="F25" s="38">
        <v>9</v>
      </c>
      <c r="G25" s="39">
        <v>2.7580900000000002</v>
      </c>
      <c r="H25" s="38">
        <v>9</v>
      </c>
      <c r="K25" s="1" t="s">
        <v>5</v>
      </c>
      <c r="L25" s="25">
        <v>0.34645999999999999</v>
      </c>
      <c r="M25" s="26">
        <v>1</v>
      </c>
      <c r="N25" s="27">
        <v>0.35652</v>
      </c>
      <c r="O25" s="28">
        <v>1</v>
      </c>
      <c r="P25" s="29">
        <v>1.99682</v>
      </c>
      <c r="Q25" s="28">
        <v>3</v>
      </c>
      <c r="R25" s="130"/>
      <c r="S25" s="131"/>
    </row>
    <row r="26" spans="2:19" x14ac:dyDescent="0.25">
      <c r="B26" s="2" t="s">
        <v>7</v>
      </c>
      <c r="C26" s="47">
        <v>0.39006000000000002</v>
      </c>
      <c r="D26" s="48">
        <v>4</v>
      </c>
      <c r="E26" s="37">
        <v>0.51875000000000004</v>
      </c>
      <c r="F26" s="38">
        <v>6</v>
      </c>
      <c r="G26" s="39">
        <v>2.66642</v>
      </c>
      <c r="H26" s="38">
        <v>5</v>
      </c>
      <c r="K26" s="2" t="s">
        <v>7</v>
      </c>
      <c r="L26" s="25">
        <v>0.39013999999999999</v>
      </c>
      <c r="M26" s="26">
        <v>7</v>
      </c>
      <c r="N26" s="27">
        <v>0.38330999999999998</v>
      </c>
      <c r="O26" s="28">
        <v>9</v>
      </c>
      <c r="P26" s="29">
        <v>2.1008800000000001</v>
      </c>
      <c r="Q26" s="28">
        <v>9</v>
      </c>
      <c r="R26" s="130"/>
      <c r="S26" s="131"/>
    </row>
    <row r="27" spans="2:19" x14ac:dyDescent="0.25">
      <c r="B27" s="2" t="s">
        <v>6</v>
      </c>
      <c r="C27" s="47">
        <v>0.39338000000000001</v>
      </c>
      <c r="D27" s="48">
        <v>5</v>
      </c>
      <c r="E27" s="37">
        <v>0.51871999999999996</v>
      </c>
      <c r="F27" s="38">
        <v>5</v>
      </c>
      <c r="G27" s="39">
        <v>2.6721400000000002</v>
      </c>
      <c r="H27" s="38">
        <v>6</v>
      </c>
      <c r="K27" s="2" t="s">
        <v>6</v>
      </c>
      <c r="L27" s="25">
        <v>0.42825999999999997</v>
      </c>
      <c r="M27" s="26">
        <v>9</v>
      </c>
      <c r="N27" s="27">
        <v>0.38289000000000001</v>
      </c>
      <c r="O27" s="28">
        <v>8</v>
      </c>
      <c r="P27" s="29">
        <v>2.0564300000000002</v>
      </c>
      <c r="Q27" s="28">
        <v>7</v>
      </c>
      <c r="R27" s="130"/>
      <c r="S27" s="131"/>
    </row>
    <row r="28" spans="2:19" x14ac:dyDescent="0.25">
      <c r="B28" s="2" t="s">
        <v>8</v>
      </c>
      <c r="C28" s="47">
        <v>0.42670999999999998</v>
      </c>
      <c r="D28" s="48">
        <v>9</v>
      </c>
      <c r="E28" s="37">
        <v>0.54088999999999998</v>
      </c>
      <c r="F28" s="38">
        <v>8</v>
      </c>
      <c r="G28" s="39">
        <v>2.7509000000000001</v>
      </c>
      <c r="H28" s="38">
        <v>8</v>
      </c>
      <c r="K28" s="2" t="s">
        <v>8</v>
      </c>
      <c r="L28" s="25">
        <v>0.35671999999999998</v>
      </c>
      <c r="M28" s="26">
        <v>5</v>
      </c>
      <c r="N28" s="27">
        <v>0.36424000000000001</v>
      </c>
      <c r="O28" s="28">
        <v>2</v>
      </c>
      <c r="P28" s="29">
        <v>2.03207</v>
      </c>
      <c r="Q28" s="28">
        <v>5</v>
      </c>
      <c r="R28" s="129"/>
      <c r="S28" s="128"/>
    </row>
    <row r="29" spans="2:19" x14ac:dyDescent="0.25">
      <c r="B29" s="2" t="s">
        <v>17</v>
      </c>
      <c r="C29" s="47">
        <v>0.41394999999999998</v>
      </c>
      <c r="D29" s="48">
        <v>7</v>
      </c>
      <c r="E29" s="37">
        <v>0.53286999999999995</v>
      </c>
      <c r="F29" s="38">
        <v>7</v>
      </c>
      <c r="G29" s="39">
        <v>2.7187299999999999</v>
      </c>
      <c r="H29" s="38">
        <v>7</v>
      </c>
      <c r="K29" s="2" t="s">
        <v>17</v>
      </c>
      <c r="L29" s="25">
        <v>0.35732999999999998</v>
      </c>
      <c r="M29" s="26">
        <v>6</v>
      </c>
      <c r="N29" s="27">
        <v>0.37030000000000002</v>
      </c>
      <c r="O29" s="28">
        <v>6</v>
      </c>
      <c r="P29" s="29">
        <v>2.0884</v>
      </c>
      <c r="Q29" s="28">
        <v>8</v>
      </c>
      <c r="R29" s="130"/>
      <c r="S29" s="131"/>
    </row>
    <row r="30" spans="2:19" x14ac:dyDescent="0.25">
      <c r="B30" s="2" t="s">
        <v>9</v>
      </c>
      <c r="C30" s="47">
        <v>0.38612999999999997</v>
      </c>
      <c r="D30" s="48">
        <v>3</v>
      </c>
      <c r="E30" s="37">
        <v>0.49925999999999998</v>
      </c>
      <c r="F30" s="38">
        <v>2</v>
      </c>
      <c r="G30" s="39">
        <v>2.5039099999999999</v>
      </c>
      <c r="H30" s="38">
        <v>2</v>
      </c>
      <c r="K30" s="2" t="s">
        <v>9</v>
      </c>
      <c r="L30" s="25">
        <v>0.34798000000000001</v>
      </c>
      <c r="M30" s="26">
        <v>2</v>
      </c>
      <c r="N30" s="27">
        <v>0.37014999999999998</v>
      </c>
      <c r="O30" s="28">
        <v>5</v>
      </c>
      <c r="P30" s="29">
        <v>1.9826600000000001</v>
      </c>
      <c r="Q30" s="28">
        <v>2</v>
      </c>
      <c r="R30" s="130"/>
      <c r="S30" s="131"/>
    </row>
    <row r="31" spans="2:19" x14ac:dyDescent="0.25">
      <c r="B31" s="3" t="s">
        <v>15</v>
      </c>
      <c r="C31" s="47">
        <v>0.38419999999999999</v>
      </c>
      <c r="D31" s="48">
        <v>2</v>
      </c>
      <c r="E31" s="37">
        <v>0.48775000000000002</v>
      </c>
      <c r="F31" s="38">
        <v>1</v>
      </c>
      <c r="G31" s="39">
        <v>2.4862000000000002</v>
      </c>
      <c r="H31" s="38">
        <v>1</v>
      </c>
      <c r="K31" s="3" t="s">
        <v>15</v>
      </c>
      <c r="L31" s="25">
        <v>0.35171000000000002</v>
      </c>
      <c r="M31" s="26">
        <v>4</v>
      </c>
      <c r="N31" s="27">
        <v>0.36658000000000002</v>
      </c>
      <c r="O31" s="28">
        <v>3</v>
      </c>
      <c r="P31" s="29">
        <v>1.96414</v>
      </c>
      <c r="Q31" s="28">
        <v>1</v>
      </c>
      <c r="R31" s="130"/>
      <c r="S31" s="131"/>
    </row>
    <row r="32" spans="2:19" ht="15.75" thickBot="1" x14ac:dyDescent="0.3">
      <c r="B32" s="2" t="s">
        <v>16</v>
      </c>
      <c r="C32" s="49">
        <v>0.39650999999999997</v>
      </c>
      <c r="D32" s="50">
        <v>6</v>
      </c>
      <c r="E32" s="42">
        <v>0.501</v>
      </c>
      <c r="F32" s="43">
        <v>3</v>
      </c>
      <c r="G32" s="44">
        <v>2.5479599999999998</v>
      </c>
      <c r="H32" s="43">
        <v>3</v>
      </c>
      <c r="K32" s="2" t="s">
        <v>16</v>
      </c>
      <c r="L32" s="30">
        <v>0.35038999999999998</v>
      </c>
      <c r="M32" s="31">
        <v>3</v>
      </c>
      <c r="N32" s="32">
        <v>0.36893999999999999</v>
      </c>
      <c r="O32" s="33">
        <v>4</v>
      </c>
      <c r="P32" s="34">
        <v>2.0329999999999999</v>
      </c>
      <c r="Q32" s="33">
        <v>6</v>
      </c>
      <c r="R32" s="130"/>
      <c r="S32" s="131"/>
    </row>
    <row r="33" spans="2:19" x14ac:dyDescent="0.25">
      <c r="B33" s="163" t="s">
        <v>13</v>
      </c>
      <c r="C33" s="172"/>
      <c r="D33" s="172"/>
      <c r="E33" s="172"/>
      <c r="F33" s="172"/>
      <c r="G33" s="172"/>
      <c r="H33" s="173"/>
      <c r="K33" s="163" t="s">
        <v>13</v>
      </c>
      <c r="L33" s="172"/>
      <c r="M33" s="172"/>
      <c r="N33" s="172"/>
      <c r="O33" s="172"/>
      <c r="P33" s="172"/>
      <c r="Q33" s="173"/>
      <c r="R33" s="124"/>
      <c r="S33" s="124"/>
    </row>
    <row r="34" spans="2:19" x14ac:dyDescent="0.25">
      <c r="C34" s="51" t="s">
        <v>10</v>
      </c>
      <c r="D34" s="51" t="s">
        <v>19</v>
      </c>
      <c r="E34" s="51" t="s">
        <v>11</v>
      </c>
      <c r="F34" s="51" t="s">
        <v>19</v>
      </c>
      <c r="G34" s="51" t="s">
        <v>1</v>
      </c>
      <c r="H34" s="51" t="s">
        <v>19</v>
      </c>
      <c r="L34" s="51" t="s">
        <v>10</v>
      </c>
      <c r="M34" s="51" t="s">
        <v>19</v>
      </c>
      <c r="N34" s="51" t="s">
        <v>11</v>
      </c>
      <c r="O34" s="51" t="s">
        <v>19</v>
      </c>
      <c r="P34" s="51" t="s">
        <v>1</v>
      </c>
      <c r="Q34" s="51" t="s">
        <v>19</v>
      </c>
      <c r="R34" s="51" t="s">
        <v>2</v>
      </c>
      <c r="S34" s="51" t="s">
        <v>19</v>
      </c>
    </row>
    <row r="35" spans="2:19" x14ac:dyDescent="0.25">
      <c r="B35" s="1" t="s">
        <v>4</v>
      </c>
      <c r="C35" s="35">
        <v>0.68433999999999995</v>
      </c>
      <c r="D35" s="36">
        <v>7</v>
      </c>
      <c r="E35" s="37">
        <v>1.07501</v>
      </c>
      <c r="F35" s="38">
        <v>10</v>
      </c>
      <c r="G35" s="39">
        <v>2.3808799999999999</v>
      </c>
      <c r="H35" s="38">
        <v>10</v>
      </c>
      <c r="K35" s="1" t="s">
        <v>4</v>
      </c>
      <c r="L35" s="25">
        <v>0.67025999999999997</v>
      </c>
      <c r="M35" s="26">
        <v>10</v>
      </c>
      <c r="N35" s="27">
        <v>0.98450000000000004</v>
      </c>
      <c r="O35" s="28">
        <v>10</v>
      </c>
      <c r="P35" s="29">
        <v>2.89642</v>
      </c>
      <c r="Q35" s="28">
        <v>10</v>
      </c>
      <c r="R35" s="130"/>
      <c r="S35" s="131"/>
    </row>
    <row r="36" spans="2:19" x14ac:dyDescent="0.25">
      <c r="B36" s="1" t="s">
        <v>31</v>
      </c>
      <c r="C36" s="35">
        <v>0.44642999999999999</v>
      </c>
      <c r="D36" s="36">
        <v>3</v>
      </c>
      <c r="E36" s="37">
        <v>0.44818999999999998</v>
      </c>
      <c r="F36" s="38">
        <v>3</v>
      </c>
      <c r="G36" s="39">
        <v>1.3351299999999999</v>
      </c>
      <c r="H36" s="38">
        <v>6</v>
      </c>
      <c r="K36" s="1" t="s">
        <v>31</v>
      </c>
      <c r="L36" s="25">
        <v>0.38231999999999999</v>
      </c>
      <c r="M36" s="26">
        <v>8</v>
      </c>
      <c r="N36" s="27">
        <v>0.36335000000000001</v>
      </c>
      <c r="O36" s="28">
        <v>6</v>
      </c>
      <c r="P36" s="29">
        <v>1.62391</v>
      </c>
      <c r="Q36" s="28">
        <v>4</v>
      </c>
      <c r="R36" s="130"/>
      <c r="S36" s="131"/>
    </row>
    <row r="37" spans="2:19" x14ac:dyDescent="0.25">
      <c r="B37" s="1" t="s">
        <v>5</v>
      </c>
      <c r="C37" s="35">
        <v>0.47121000000000002</v>
      </c>
      <c r="D37" s="36">
        <v>5</v>
      </c>
      <c r="E37" s="37">
        <v>0.46046999999999999</v>
      </c>
      <c r="F37" s="38">
        <v>6</v>
      </c>
      <c r="G37" s="39">
        <v>1.2973600000000001</v>
      </c>
      <c r="H37" s="38">
        <v>3</v>
      </c>
      <c r="K37" s="1" t="s">
        <v>5</v>
      </c>
      <c r="L37" s="25">
        <v>0.34597</v>
      </c>
      <c r="M37" s="26">
        <v>4</v>
      </c>
      <c r="N37" s="27">
        <v>0.35548999999999997</v>
      </c>
      <c r="O37" s="28">
        <v>2</v>
      </c>
      <c r="P37" s="29">
        <v>1.67228</v>
      </c>
      <c r="Q37" s="28">
        <v>6</v>
      </c>
      <c r="R37" s="130"/>
      <c r="S37" s="131"/>
    </row>
    <row r="38" spans="2:19" x14ac:dyDescent="0.25">
      <c r="B38" s="2" t="s">
        <v>7</v>
      </c>
      <c r="C38" s="35">
        <v>0.44129000000000002</v>
      </c>
      <c r="D38" s="36">
        <v>2</v>
      </c>
      <c r="E38" s="37">
        <v>0.44631999999999999</v>
      </c>
      <c r="F38" s="38">
        <v>2</v>
      </c>
      <c r="G38" s="39">
        <v>1.30766</v>
      </c>
      <c r="H38" s="38">
        <v>4</v>
      </c>
      <c r="K38" s="2" t="s">
        <v>7</v>
      </c>
      <c r="L38" s="25">
        <v>0.37369999999999998</v>
      </c>
      <c r="M38" s="26">
        <v>7</v>
      </c>
      <c r="N38" s="27">
        <v>0.37028</v>
      </c>
      <c r="O38" s="28">
        <v>9</v>
      </c>
      <c r="P38" s="29">
        <v>1.68926</v>
      </c>
      <c r="Q38" s="28">
        <v>7</v>
      </c>
      <c r="R38" s="130"/>
      <c r="S38" s="131"/>
    </row>
    <row r="39" spans="2:19" x14ac:dyDescent="0.25">
      <c r="B39" s="2" t="s">
        <v>6</v>
      </c>
      <c r="C39" s="35">
        <v>0.43795000000000001</v>
      </c>
      <c r="D39" s="36">
        <v>1</v>
      </c>
      <c r="E39" s="37">
        <v>0.43808000000000002</v>
      </c>
      <c r="F39" s="38">
        <v>1</v>
      </c>
      <c r="G39" s="39">
        <v>1.3121100000000001</v>
      </c>
      <c r="H39" s="38">
        <v>5</v>
      </c>
      <c r="K39" s="2" t="s">
        <v>6</v>
      </c>
      <c r="L39" s="25">
        <v>0.40384999999999999</v>
      </c>
      <c r="M39" s="26">
        <v>9</v>
      </c>
      <c r="N39" s="27">
        <v>0.36660999999999999</v>
      </c>
      <c r="O39" s="28">
        <v>8</v>
      </c>
      <c r="P39" s="29">
        <v>1.64842</v>
      </c>
      <c r="Q39" s="28">
        <v>5</v>
      </c>
      <c r="R39" s="130"/>
      <c r="S39" s="131"/>
    </row>
    <row r="40" spans="2:19" x14ac:dyDescent="0.25">
      <c r="B40" s="2" t="s">
        <v>8</v>
      </c>
      <c r="C40" s="35">
        <v>0.48515000000000003</v>
      </c>
      <c r="D40" s="36">
        <v>6</v>
      </c>
      <c r="E40" s="37">
        <v>0.46046999999999999</v>
      </c>
      <c r="F40" s="38">
        <v>5</v>
      </c>
      <c r="G40" s="39">
        <v>1.29657</v>
      </c>
      <c r="H40" s="38">
        <v>2</v>
      </c>
      <c r="K40" s="2" t="s">
        <v>8</v>
      </c>
      <c r="L40" s="25">
        <v>0.34884999999999999</v>
      </c>
      <c r="M40" s="26">
        <v>5</v>
      </c>
      <c r="N40" s="27">
        <v>0.35821999999999998</v>
      </c>
      <c r="O40" s="28">
        <v>5</v>
      </c>
      <c r="P40" s="29">
        <v>1.69974</v>
      </c>
      <c r="Q40" s="28">
        <v>8</v>
      </c>
      <c r="R40" s="130"/>
      <c r="S40" s="131"/>
    </row>
    <row r="41" spans="2:19" x14ac:dyDescent="0.25">
      <c r="B41" s="2" t="s">
        <v>17</v>
      </c>
      <c r="C41" s="35">
        <v>0.45987</v>
      </c>
      <c r="D41" s="36">
        <v>4</v>
      </c>
      <c r="E41" s="37">
        <v>0.45412999999999998</v>
      </c>
      <c r="F41" s="38">
        <v>4</v>
      </c>
      <c r="G41" s="39">
        <v>1.2542199999999999</v>
      </c>
      <c r="H41" s="38">
        <v>1</v>
      </c>
      <c r="K41" s="2" t="s">
        <v>17</v>
      </c>
      <c r="L41" s="25">
        <v>0.34987000000000001</v>
      </c>
      <c r="M41" s="26">
        <v>6</v>
      </c>
      <c r="N41" s="27">
        <v>0.36509000000000003</v>
      </c>
      <c r="O41" s="28">
        <v>7</v>
      </c>
      <c r="P41" s="29">
        <v>1.7271099999999999</v>
      </c>
      <c r="Q41" s="28">
        <v>9</v>
      </c>
      <c r="R41" s="130"/>
      <c r="S41" s="131"/>
    </row>
    <row r="42" spans="2:19" x14ac:dyDescent="0.25">
      <c r="B42" s="2" t="s">
        <v>9</v>
      </c>
      <c r="C42" s="35">
        <v>0.77534999999999998</v>
      </c>
      <c r="D42" s="36">
        <v>9</v>
      </c>
      <c r="E42" s="37">
        <v>0.49802999999999997</v>
      </c>
      <c r="F42" s="38">
        <v>7</v>
      </c>
      <c r="G42" s="39">
        <v>1.91459</v>
      </c>
      <c r="H42" s="38">
        <v>8</v>
      </c>
      <c r="K42" s="2" t="s">
        <v>9</v>
      </c>
      <c r="L42" s="25">
        <v>0.33561999999999997</v>
      </c>
      <c r="M42" s="26">
        <v>2</v>
      </c>
      <c r="N42" s="27">
        <v>0.35648999999999997</v>
      </c>
      <c r="O42" s="28">
        <v>4</v>
      </c>
      <c r="P42" s="29">
        <v>1.56369</v>
      </c>
      <c r="Q42" s="28">
        <v>2</v>
      </c>
      <c r="R42" s="130"/>
      <c r="S42" s="131"/>
    </row>
    <row r="43" spans="2:19" x14ac:dyDescent="0.25">
      <c r="B43" s="3" t="s">
        <v>15</v>
      </c>
      <c r="C43" s="35">
        <v>0.75165999999999999</v>
      </c>
      <c r="D43" s="36">
        <v>8</v>
      </c>
      <c r="E43" s="37">
        <v>0.50368999999999997</v>
      </c>
      <c r="F43" s="38">
        <v>8</v>
      </c>
      <c r="G43" s="39">
        <v>1.85941</v>
      </c>
      <c r="H43" s="38">
        <v>7</v>
      </c>
      <c r="K43" s="3" t="s">
        <v>15</v>
      </c>
      <c r="L43" s="25">
        <v>0.34123999999999999</v>
      </c>
      <c r="M43" s="26">
        <v>3</v>
      </c>
      <c r="N43" s="27">
        <v>0.35604999999999998</v>
      </c>
      <c r="O43" s="28">
        <v>3</v>
      </c>
      <c r="P43" s="29">
        <v>1.5618000000000001</v>
      </c>
      <c r="Q43" s="28">
        <v>1</v>
      </c>
      <c r="R43" s="130"/>
      <c r="S43" s="131"/>
    </row>
    <row r="44" spans="2:19" ht="15.75" thickBot="1" x14ac:dyDescent="0.3">
      <c r="B44" s="2" t="s">
        <v>16</v>
      </c>
      <c r="C44" s="40">
        <v>0.85174000000000005</v>
      </c>
      <c r="D44" s="41">
        <v>10</v>
      </c>
      <c r="E44" s="42">
        <v>0.50551999999999997</v>
      </c>
      <c r="F44" s="43">
        <v>9</v>
      </c>
      <c r="G44" s="44">
        <v>2.04487</v>
      </c>
      <c r="H44" s="43">
        <v>9</v>
      </c>
      <c r="K44" s="2" t="s">
        <v>16</v>
      </c>
      <c r="L44" s="30">
        <v>0.33415</v>
      </c>
      <c r="M44" s="31">
        <v>1</v>
      </c>
      <c r="N44" s="32">
        <v>0.35375000000000001</v>
      </c>
      <c r="O44" s="33">
        <v>1</v>
      </c>
      <c r="P44" s="34">
        <v>1.5990500000000001</v>
      </c>
      <c r="Q44" s="33">
        <v>3</v>
      </c>
      <c r="R44" s="130"/>
      <c r="S44" s="131"/>
    </row>
    <row r="45" spans="2:19" x14ac:dyDescent="0.25">
      <c r="B45" s="163" t="s">
        <v>14</v>
      </c>
      <c r="C45" s="172"/>
      <c r="D45" s="172"/>
      <c r="E45" s="172"/>
      <c r="F45" s="172"/>
      <c r="G45" s="172"/>
      <c r="H45" s="173"/>
      <c r="K45" s="163" t="s">
        <v>14</v>
      </c>
      <c r="L45" s="172"/>
      <c r="M45" s="172"/>
      <c r="N45" s="172"/>
      <c r="O45" s="172"/>
      <c r="P45" s="172"/>
      <c r="Q45" s="173"/>
      <c r="R45" s="124"/>
      <c r="S45" s="124"/>
    </row>
    <row r="46" spans="2:19" x14ac:dyDescent="0.25">
      <c r="C46" s="51" t="s">
        <v>10</v>
      </c>
      <c r="D46" s="51" t="s">
        <v>19</v>
      </c>
      <c r="E46" s="51" t="s">
        <v>11</v>
      </c>
      <c r="F46" s="51" t="s">
        <v>19</v>
      </c>
      <c r="G46" s="51" t="s">
        <v>1</v>
      </c>
      <c r="H46" s="51" t="s">
        <v>19</v>
      </c>
      <c r="L46" s="51" t="s">
        <v>10</v>
      </c>
      <c r="M46" s="51" t="s">
        <v>19</v>
      </c>
      <c r="N46" s="51" t="s">
        <v>11</v>
      </c>
      <c r="O46" s="51" t="s">
        <v>19</v>
      </c>
      <c r="P46" s="51" t="s">
        <v>1</v>
      </c>
      <c r="Q46" s="51" t="s">
        <v>19</v>
      </c>
      <c r="R46" s="51" t="s">
        <v>2</v>
      </c>
      <c r="S46" s="51" t="s">
        <v>19</v>
      </c>
    </row>
    <row r="47" spans="2:19" x14ac:dyDescent="0.25">
      <c r="B47" s="1" t="s">
        <v>4</v>
      </c>
      <c r="C47" s="37">
        <v>0.65747</v>
      </c>
      <c r="D47" s="38">
        <v>7</v>
      </c>
      <c r="E47" s="37">
        <v>0.99544999999999995</v>
      </c>
      <c r="F47" s="38">
        <v>10</v>
      </c>
      <c r="G47" s="39">
        <v>2.46767</v>
      </c>
      <c r="H47" s="38">
        <v>10</v>
      </c>
      <c r="K47" s="1" t="s">
        <v>4</v>
      </c>
      <c r="L47" s="27">
        <v>0.62955000000000005</v>
      </c>
      <c r="M47" s="28">
        <v>10</v>
      </c>
      <c r="N47" s="27">
        <v>0.91135999999999995</v>
      </c>
      <c r="O47" s="28">
        <v>10</v>
      </c>
      <c r="P47" s="29">
        <v>2.7321499999999999</v>
      </c>
      <c r="Q47" s="28">
        <v>10</v>
      </c>
      <c r="R47" s="130"/>
      <c r="S47" s="131"/>
    </row>
    <row r="48" spans="2:19" x14ac:dyDescent="0.25">
      <c r="B48" s="1" t="s">
        <v>31</v>
      </c>
      <c r="C48" s="37">
        <v>0.46344999999999997</v>
      </c>
      <c r="D48" s="38">
        <v>4</v>
      </c>
      <c r="E48" s="37">
        <v>0.42924000000000001</v>
      </c>
      <c r="F48" s="38">
        <v>3</v>
      </c>
      <c r="G48" s="39">
        <v>1.39273</v>
      </c>
      <c r="H48" s="38">
        <v>2</v>
      </c>
      <c r="K48" s="1" t="s">
        <v>31</v>
      </c>
      <c r="L48" s="27">
        <v>0.45795999999999998</v>
      </c>
      <c r="M48" s="28">
        <v>8</v>
      </c>
      <c r="N48" s="27">
        <v>0.37219000000000002</v>
      </c>
      <c r="O48" s="28">
        <v>7</v>
      </c>
      <c r="P48" s="29">
        <v>1.86466</v>
      </c>
      <c r="Q48" s="28">
        <v>8</v>
      </c>
      <c r="R48" s="145"/>
      <c r="S48" s="131"/>
    </row>
    <row r="49" spans="2:19" x14ac:dyDescent="0.25">
      <c r="B49" s="1" t="s">
        <v>5</v>
      </c>
      <c r="C49" s="37">
        <v>0.45016</v>
      </c>
      <c r="D49" s="38">
        <v>1</v>
      </c>
      <c r="E49" s="37">
        <v>0.42050999999999999</v>
      </c>
      <c r="F49" s="38">
        <v>1</v>
      </c>
      <c r="G49" s="39">
        <v>1.3697699999999999</v>
      </c>
      <c r="H49" s="38">
        <v>1</v>
      </c>
      <c r="K49" s="1" t="s">
        <v>5</v>
      </c>
      <c r="L49" s="27">
        <v>0.36551</v>
      </c>
      <c r="M49" s="28">
        <v>3</v>
      </c>
      <c r="N49" s="27">
        <v>0.35282999999999998</v>
      </c>
      <c r="O49" s="28">
        <v>2</v>
      </c>
      <c r="P49" s="29">
        <v>1.68042</v>
      </c>
      <c r="Q49" s="28">
        <v>5</v>
      </c>
      <c r="R49" s="130"/>
      <c r="S49" s="131"/>
    </row>
    <row r="50" spans="2:19" x14ac:dyDescent="0.25">
      <c r="B50" s="2" t="s">
        <v>7</v>
      </c>
      <c r="C50" s="37">
        <v>0.47153</v>
      </c>
      <c r="D50" s="38">
        <v>6</v>
      </c>
      <c r="E50" s="37">
        <v>0.44597999999999999</v>
      </c>
      <c r="F50" s="38">
        <v>6</v>
      </c>
      <c r="G50" s="39">
        <v>1.5092300000000001</v>
      </c>
      <c r="H50" s="38">
        <v>6</v>
      </c>
      <c r="K50" s="2" t="s">
        <v>7</v>
      </c>
      <c r="L50" s="27">
        <v>0.43881999999999999</v>
      </c>
      <c r="M50" s="28">
        <v>7</v>
      </c>
      <c r="N50" s="27">
        <v>0.37129000000000001</v>
      </c>
      <c r="O50" s="28">
        <v>6</v>
      </c>
      <c r="P50" s="29">
        <v>1.87401</v>
      </c>
      <c r="Q50" s="28">
        <v>9</v>
      </c>
      <c r="R50" s="130"/>
      <c r="S50" s="131"/>
    </row>
    <row r="51" spans="2:19" x14ac:dyDescent="0.25">
      <c r="B51" s="2" t="s">
        <v>6</v>
      </c>
      <c r="C51" s="37">
        <v>0.45817000000000002</v>
      </c>
      <c r="D51" s="38">
        <v>3</v>
      </c>
      <c r="E51" s="37">
        <v>0.42414000000000002</v>
      </c>
      <c r="F51" s="38">
        <v>2</v>
      </c>
      <c r="G51" s="39">
        <v>1.39357</v>
      </c>
      <c r="H51" s="38">
        <v>3</v>
      </c>
      <c r="K51" s="2" t="s">
        <v>6</v>
      </c>
      <c r="L51" s="27">
        <v>0.4738</v>
      </c>
      <c r="M51" s="28">
        <v>9</v>
      </c>
      <c r="N51" s="27">
        <v>0.36508000000000002</v>
      </c>
      <c r="O51" s="28">
        <v>4</v>
      </c>
      <c r="P51" s="29">
        <v>1.85202</v>
      </c>
      <c r="Q51" s="28">
        <v>7</v>
      </c>
      <c r="R51" s="130"/>
      <c r="S51" s="131"/>
    </row>
    <row r="52" spans="2:19" x14ac:dyDescent="0.25">
      <c r="B52" s="2" t="s">
        <v>8</v>
      </c>
      <c r="C52" s="37">
        <v>0.46400999999999998</v>
      </c>
      <c r="D52" s="38">
        <v>5</v>
      </c>
      <c r="E52" s="37">
        <v>0.43049999999999999</v>
      </c>
      <c r="F52" s="38">
        <v>4</v>
      </c>
      <c r="G52" s="39">
        <v>1.40364</v>
      </c>
      <c r="H52" s="38">
        <v>4</v>
      </c>
      <c r="K52" s="2" t="s">
        <v>8</v>
      </c>
      <c r="L52" s="27">
        <v>0.36119000000000001</v>
      </c>
      <c r="M52" s="28">
        <v>1</v>
      </c>
      <c r="N52" s="27">
        <v>0.34925</v>
      </c>
      <c r="O52" s="28">
        <v>1</v>
      </c>
      <c r="P52" s="29">
        <v>1.67039</v>
      </c>
      <c r="Q52" s="28">
        <v>4</v>
      </c>
      <c r="R52" s="130"/>
      <c r="S52" s="131"/>
    </row>
    <row r="53" spans="2:19" x14ac:dyDescent="0.25">
      <c r="B53" s="2" t="s">
        <v>17</v>
      </c>
      <c r="C53" s="37">
        <v>0.45396999999999998</v>
      </c>
      <c r="D53" s="38">
        <v>2</v>
      </c>
      <c r="E53" s="37">
        <v>0.43791000000000002</v>
      </c>
      <c r="F53" s="38">
        <v>5</v>
      </c>
      <c r="G53" s="39">
        <v>1.4931000000000001</v>
      </c>
      <c r="H53" s="38">
        <v>5</v>
      </c>
      <c r="K53" s="2" t="s">
        <v>17</v>
      </c>
      <c r="L53" s="27">
        <v>0.36803000000000002</v>
      </c>
      <c r="M53" s="28">
        <v>6</v>
      </c>
      <c r="N53" s="27">
        <v>0.35771999999999998</v>
      </c>
      <c r="O53" s="28">
        <v>3</v>
      </c>
      <c r="P53" s="29">
        <v>1.69347</v>
      </c>
      <c r="Q53" s="28">
        <v>6</v>
      </c>
      <c r="R53" s="130"/>
      <c r="S53" s="131"/>
    </row>
    <row r="54" spans="2:19" x14ac:dyDescent="0.25">
      <c r="B54" s="2" t="s">
        <v>9</v>
      </c>
      <c r="C54" s="37">
        <v>0.69354000000000005</v>
      </c>
      <c r="D54" s="38">
        <v>9</v>
      </c>
      <c r="E54" s="37">
        <v>0.47308</v>
      </c>
      <c r="F54" s="38">
        <v>8</v>
      </c>
      <c r="G54" s="39">
        <v>1.79183</v>
      </c>
      <c r="H54" s="38">
        <v>8</v>
      </c>
      <c r="K54" s="2" t="s">
        <v>9</v>
      </c>
      <c r="L54" s="27">
        <v>0.36642999999999998</v>
      </c>
      <c r="M54" s="28">
        <v>4</v>
      </c>
      <c r="N54" s="27">
        <v>0.37397000000000002</v>
      </c>
      <c r="O54" s="28">
        <v>9</v>
      </c>
      <c r="P54" s="29">
        <v>1.5056099999999999</v>
      </c>
      <c r="Q54" s="28">
        <v>2</v>
      </c>
      <c r="R54" s="130"/>
      <c r="S54" s="131"/>
    </row>
    <row r="55" spans="2:19" x14ac:dyDescent="0.25">
      <c r="B55" s="3" t="s">
        <v>15</v>
      </c>
      <c r="C55" s="37">
        <v>0.66984999999999995</v>
      </c>
      <c r="D55" s="38">
        <v>8</v>
      </c>
      <c r="E55" s="37">
        <v>0.46718999999999999</v>
      </c>
      <c r="F55" s="38">
        <v>7</v>
      </c>
      <c r="G55" s="39">
        <v>1.7194499999999999</v>
      </c>
      <c r="H55" s="38">
        <v>7</v>
      </c>
      <c r="K55" s="3" t="s">
        <v>15</v>
      </c>
      <c r="L55" s="27">
        <v>0.36492999999999998</v>
      </c>
      <c r="M55" s="28">
        <v>2</v>
      </c>
      <c r="N55" s="27">
        <v>0.36995</v>
      </c>
      <c r="O55" s="28">
        <v>5</v>
      </c>
      <c r="P55" s="29">
        <v>1.4869600000000001</v>
      </c>
      <c r="Q55" s="28">
        <v>1</v>
      </c>
      <c r="R55" s="130"/>
      <c r="S55" s="131"/>
    </row>
    <row r="56" spans="2:19" ht="15.75" thickBot="1" x14ac:dyDescent="0.3">
      <c r="B56" s="2" t="s">
        <v>16</v>
      </c>
      <c r="C56" s="42">
        <v>0.73119999999999996</v>
      </c>
      <c r="D56" s="43">
        <v>10</v>
      </c>
      <c r="E56" s="42">
        <v>0.48609000000000002</v>
      </c>
      <c r="F56" s="43">
        <v>9</v>
      </c>
      <c r="G56" s="44">
        <v>1.9688699999999999</v>
      </c>
      <c r="H56" s="43">
        <v>9</v>
      </c>
      <c r="K56" s="2" t="s">
        <v>16</v>
      </c>
      <c r="L56" s="32">
        <v>0.36759999999999998</v>
      </c>
      <c r="M56" s="33">
        <v>5</v>
      </c>
      <c r="N56" s="32">
        <v>0.37247999999999998</v>
      </c>
      <c r="O56" s="33">
        <v>8</v>
      </c>
      <c r="P56" s="34">
        <v>1.50891</v>
      </c>
      <c r="Q56" s="33">
        <v>3</v>
      </c>
      <c r="R56" s="130"/>
      <c r="S56" s="131"/>
    </row>
    <row r="58" spans="2:19" x14ac:dyDescent="0.25">
      <c r="I58" s="102"/>
      <c r="J58" s="102"/>
    </row>
    <row r="59" spans="2:19" ht="13.5" customHeight="1" x14ac:dyDescent="0.25">
      <c r="I59" s="102"/>
      <c r="J59" s="102"/>
    </row>
  </sheetData>
  <mergeCells count="6">
    <mergeCell ref="B21:H21"/>
    <mergeCell ref="K21:Q21"/>
    <mergeCell ref="B33:H33"/>
    <mergeCell ref="K33:Q33"/>
    <mergeCell ref="B45:H45"/>
    <mergeCell ref="K45:Q45"/>
  </mergeCell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D24:Z75"/>
  <sheetViews>
    <sheetView topLeftCell="A38" zoomScale="90" zoomScaleNormal="90" workbookViewId="0">
      <selection activeCell="P24" sqref="P24:Y74"/>
    </sheetView>
  </sheetViews>
  <sheetFormatPr defaultColWidth="9" defaultRowHeight="15" x14ac:dyDescent="0.25"/>
  <cols>
    <col min="1" max="3" width="9" style="4"/>
    <col min="4" max="4" width="22.375" style="4" customWidth="1"/>
    <col min="5" max="7" width="9" style="4"/>
    <col min="8" max="10" width="9" style="7"/>
    <col min="11" max="15" width="9" style="4"/>
    <col min="16" max="16" width="25.875" style="4" customWidth="1"/>
    <col min="17" max="17" width="13.75" style="4" customWidth="1"/>
    <col min="18" max="16384" width="9" style="4"/>
  </cols>
  <sheetData>
    <row r="24" spans="4:26" x14ac:dyDescent="0.25">
      <c r="D24" s="19" t="s">
        <v>42</v>
      </c>
      <c r="E24" s="174" t="s">
        <v>10</v>
      </c>
      <c r="F24" s="174"/>
      <c r="G24" s="174"/>
      <c r="H24" s="175" t="s">
        <v>11</v>
      </c>
      <c r="I24" s="175"/>
      <c r="J24" s="175"/>
      <c r="K24" s="174" t="s">
        <v>1</v>
      </c>
      <c r="L24" s="174"/>
      <c r="M24" s="174"/>
      <c r="P24" s="19" t="s">
        <v>33</v>
      </c>
      <c r="Q24" s="174" t="s">
        <v>10</v>
      </c>
      <c r="R24" s="174"/>
      <c r="S24" s="174"/>
      <c r="T24" s="174" t="s">
        <v>11</v>
      </c>
      <c r="U24" s="174"/>
      <c r="V24" s="174"/>
      <c r="W24" s="174" t="s">
        <v>1</v>
      </c>
      <c r="X24" s="174"/>
      <c r="Y24" s="174"/>
    </row>
    <row r="25" spans="4:26" ht="25.5" x14ac:dyDescent="0.25">
      <c r="D25" s="20" t="s">
        <v>29</v>
      </c>
      <c r="E25" s="8" t="s">
        <v>31</v>
      </c>
      <c r="F25" s="15" t="s">
        <v>32</v>
      </c>
      <c r="G25" s="9" t="s">
        <v>6</v>
      </c>
      <c r="H25" s="152" t="s">
        <v>31</v>
      </c>
      <c r="I25" s="153" t="s">
        <v>32</v>
      </c>
      <c r="J25" s="154" t="s">
        <v>6</v>
      </c>
      <c r="K25" s="8" t="s">
        <v>31</v>
      </c>
      <c r="L25" s="15" t="s">
        <v>32</v>
      </c>
      <c r="M25" s="15" t="s">
        <v>6</v>
      </c>
      <c r="P25" s="20" t="s">
        <v>29</v>
      </c>
      <c r="Q25" s="8" t="s">
        <v>31</v>
      </c>
      <c r="R25" s="15" t="s">
        <v>32</v>
      </c>
      <c r="S25" s="9" t="s">
        <v>6</v>
      </c>
      <c r="T25" s="8" t="s">
        <v>31</v>
      </c>
      <c r="U25" s="15" t="s">
        <v>32</v>
      </c>
      <c r="V25" s="9" t="s">
        <v>6</v>
      </c>
      <c r="W25" s="8" t="s">
        <v>31</v>
      </c>
      <c r="X25" s="15" t="s">
        <v>32</v>
      </c>
      <c r="Y25" s="15" t="s">
        <v>6</v>
      </c>
    </row>
    <row r="26" spans="4:26" x14ac:dyDescent="0.25">
      <c r="D26" s="21" t="s">
        <v>20</v>
      </c>
      <c r="E26" s="11">
        <v>0.24923999999999999</v>
      </c>
      <c r="F26" s="16">
        <v>0.24993000000000001</v>
      </c>
      <c r="G26" s="5">
        <v>0.26590000000000003</v>
      </c>
      <c r="H26" s="5">
        <v>0.20807</v>
      </c>
      <c r="I26" s="150">
        <v>0.20751</v>
      </c>
      <c r="J26" s="7">
        <v>0.2228</v>
      </c>
      <c r="K26" s="6">
        <v>0.58472000000000002</v>
      </c>
      <c r="L26" s="18">
        <v>0.59321999999999997</v>
      </c>
      <c r="M26" s="22">
        <v>0.61712999999999996</v>
      </c>
      <c r="P26" s="21" t="s">
        <v>20</v>
      </c>
      <c r="Q26" s="11">
        <v>0.22159000000000001</v>
      </c>
      <c r="R26" s="16">
        <v>0.22488</v>
      </c>
      <c r="S26" s="149">
        <v>0.21299000000000001</v>
      </c>
      <c r="T26" s="16">
        <v>0.22461</v>
      </c>
      <c r="U26" s="16">
        <v>0.22808999999999999</v>
      </c>
      <c r="V26" s="158">
        <v>0.2165</v>
      </c>
      <c r="W26" s="6">
        <v>0.78793999999999997</v>
      </c>
      <c r="X26" s="6">
        <v>0.79971999999999999</v>
      </c>
      <c r="Y26" s="146">
        <v>0.75853999999999999</v>
      </c>
      <c r="Z26" s="4">
        <f>IF(W26&gt;Y26,1,"")</f>
        <v>1</v>
      </c>
    </row>
    <row r="27" spans="4:26" x14ac:dyDescent="0.25">
      <c r="D27" s="21" t="s">
        <v>21</v>
      </c>
      <c r="E27" s="11">
        <v>0.4657</v>
      </c>
      <c r="F27" s="16">
        <v>0.44869999999999999</v>
      </c>
      <c r="G27" s="149">
        <v>0.42388999999999999</v>
      </c>
      <c r="H27" s="5">
        <v>0.62853000000000003</v>
      </c>
      <c r="I27" s="150">
        <v>0.60119999999999996</v>
      </c>
      <c r="J27" s="150">
        <v>0.55893999999999999</v>
      </c>
      <c r="K27" s="6">
        <v>2.5314000000000001</v>
      </c>
      <c r="L27" s="155">
        <v>2.5034900000000002</v>
      </c>
      <c r="M27" s="22">
        <v>2.5314399999999999</v>
      </c>
      <c r="P27" s="21" t="s">
        <v>21</v>
      </c>
      <c r="Q27" s="11">
        <v>0.64500999999999997</v>
      </c>
      <c r="R27" s="16">
        <v>0.65852999999999995</v>
      </c>
      <c r="S27" s="5">
        <v>0.67066000000000003</v>
      </c>
      <c r="T27" s="16">
        <v>0.35857</v>
      </c>
      <c r="U27" s="16">
        <v>0.35969000000000001</v>
      </c>
      <c r="V27" s="148">
        <v>0.33195000000000002</v>
      </c>
      <c r="W27" s="6">
        <v>0.52041999999999999</v>
      </c>
      <c r="X27" s="6">
        <v>0.52998000000000001</v>
      </c>
      <c r="Y27" s="22">
        <v>0.52654000000000001</v>
      </c>
      <c r="Z27" s="4" t="str">
        <f t="shared" ref="Z27:Z74" si="0">IF(W27&gt;Y27,1,"")</f>
        <v/>
      </c>
    </row>
    <row r="28" spans="4:26" x14ac:dyDescent="0.25">
      <c r="D28" s="21" t="s">
        <v>22</v>
      </c>
      <c r="E28" s="11">
        <v>0.32336999999999999</v>
      </c>
      <c r="F28" s="16">
        <v>0.31633</v>
      </c>
      <c r="G28" s="149">
        <v>0.30948999999999999</v>
      </c>
      <c r="H28" s="5">
        <v>0.38262000000000002</v>
      </c>
      <c r="I28" s="150">
        <v>0.38206000000000001</v>
      </c>
      <c r="J28" s="150">
        <v>0.36781000000000003</v>
      </c>
      <c r="K28" s="6">
        <v>0.89273999999999998</v>
      </c>
      <c r="L28" s="18">
        <v>0.89532999999999996</v>
      </c>
      <c r="M28" s="22">
        <v>0.90158000000000005</v>
      </c>
      <c r="P28" s="21" t="s">
        <v>22</v>
      </c>
      <c r="Q28" s="11">
        <v>0.30559999999999998</v>
      </c>
      <c r="R28" s="148">
        <v>0.30488999999999999</v>
      </c>
      <c r="S28" s="149">
        <v>0.29357</v>
      </c>
      <c r="T28" s="16">
        <v>0.29776999999999998</v>
      </c>
      <c r="U28" s="16">
        <v>0.30198000000000003</v>
      </c>
      <c r="V28" s="148">
        <v>0.29264000000000001</v>
      </c>
      <c r="W28" s="6">
        <v>0.60270999999999997</v>
      </c>
      <c r="X28" s="6">
        <v>0.60575000000000001</v>
      </c>
      <c r="Y28" s="146">
        <v>0.58792</v>
      </c>
      <c r="Z28" s="4">
        <f t="shared" si="0"/>
        <v>1</v>
      </c>
    </row>
    <row r="29" spans="4:26" x14ac:dyDescent="0.25">
      <c r="D29" s="21" t="s">
        <v>23</v>
      </c>
      <c r="E29" s="11">
        <v>0.34358</v>
      </c>
      <c r="F29" s="16">
        <v>0.31312000000000001</v>
      </c>
      <c r="G29" s="149">
        <v>0.33291999999999999</v>
      </c>
      <c r="H29" s="5">
        <v>0.39480999999999999</v>
      </c>
      <c r="I29" s="150">
        <v>0.35613</v>
      </c>
      <c r="J29" s="150">
        <v>0.38157999999999997</v>
      </c>
      <c r="K29" s="6">
        <v>0.66537999999999997</v>
      </c>
      <c r="L29" s="18">
        <v>0.59589999999999999</v>
      </c>
      <c r="M29" s="146">
        <v>0.62397000000000002</v>
      </c>
      <c r="P29" s="21" t="s">
        <v>23</v>
      </c>
      <c r="Q29" s="11">
        <v>0.27155000000000001</v>
      </c>
      <c r="R29" s="148">
        <v>0.26812000000000002</v>
      </c>
      <c r="S29" s="149">
        <v>0.26556999999999997</v>
      </c>
      <c r="T29" s="16">
        <v>0.29648000000000002</v>
      </c>
      <c r="U29" s="148">
        <v>0.29420000000000002</v>
      </c>
      <c r="V29" s="148">
        <v>0.28560999999999998</v>
      </c>
      <c r="W29" s="6">
        <v>1.0382800000000001</v>
      </c>
      <c r="X29" s="159">
        <v>1.0330999999999999</v>
      </c>
      <c r="Y29" s="146">
        <v>1.0277400000000001</v>
      </c>
      <c r="Z29" s="4">
        <f t="shared" si="0"/>
        <v>1</v>
      </c>
    </row>
    <row r="30" spans="4:26" x14ac:dyDescent="0.25">
      <c r="D30" s="21" t="s">
        <v>37</v>
      </c>
      <c r="E30" s="11">
        <v>0.24284</v>
      </c>
      <c r="F30" s="16">
        <v>0.24387</v>
      </c>
      <c r="G30" s="149">
        <v>0.23988999999999999</v>
      </c>
      <c r="H30" s="5">
        <v>0.25330999999999998</v>
      </c>
      <c r="I30" s="150">
        <v>0.25054999999999999</v>
      </c>
      <c r="J30" s="150">
        <v>0.24543000000000001</v>
      </c>
      <c r="K30" s="6">
        <v>0.91108</v>
      </c>
      <c r="L30" s="18">
        <v>0.89448000000000005</v>
      </c>
      <c r="M30" s="146">
        <v>0.90615999999999997</v>
      </c>
      <c r="P30" s="21" t="s">
        <v>37</v>
      </c>
      <c r="Q30" s="11">
        <v>0.22461</v>
      </c>
      <c r="R30" s="148">
        <v>0.22220999999999999</v>
      </c>
      <c r="S30" s="149">
        <v>0.22231999999999999</v>
      </c>
      <c r="T30" s="16">
        <v>0.23294999999999999</v>
      </c>
      <c r="U30" s="148">
        <v>0.23028000000000001</v>
      </c>
      <c r="V30" s="148">
        <v>0.22084999999999999</v>
      </c>
      <c r="W30" s="6">
        <v>0.89646999999999999</v>
      </c>
      <c r="X30" s="159">
        <v>0.88571999999999995</v>
      </c>
      <c r="Y30" s="146">
        <v>0.84999000000000002</v>
      </c>
      <c r="Z30" s="4">
        <f t="shared" si="0"/>
        <v>1</v>
      </c>
    </row>
    <row r="31" spans="4:26" x14ac:dyDescent="0.25">
      <c r="D31" s="21" t="s">
        <v>36</v>
      </c>
      <c r="E31" s="11">
        <v>0.37433</v>
      </c>
      <c r="F31" s="16">
        <v>0.39243</v>
      </c>
      <c r="G31" s="149">
        <v>0.35178999999999999</v>
      </c>
      <c r="H31" s="5">
        <v>0.40084999999999998</v>
      </c>
      <c r="I31" s="7">
        <v>0.42724000000000001</v>
      </c>
      <c r="J31" s="150">
        <v>0.35858000000000001</v>
      </c>
      <c r="K31" s="6">
        <v>0.33984999999999999</v>
      </c>
      <c r="L31" s="18">
        <v>0.35072999999999999</v>
      </c>
      <c r="M31" s="146">
        <v>0.30186000000000002</v>
      </c>
      <c r="P31" s="21" t="s">
        <v>36</v>
      </c>
      <c r="Q31" s="11">
        <v>0.46729999999999999</v>
      </c>
      <c r="R31" s="148">
        <v>0.46443000000000001</v>
      </c>
      <c r="S31" s="5">
        <v>0.49854999999999999</v>
      </c>
      <c r="T31" s="16">
        <v>0.46096999999999999</v>
      </c>
      <c r="U31" s="16">
        <v>0.47069</v>
      </c>
      <c r="V31" s="148">
        <v>0.45727000000000001</v>
      </c>
      <c r="W31" s="6">
        <v>0.77659</v>
      </c>
      <c r="X31" s="6">
        <v>0.79715000000000003</v>
      </c>
      <c r="Y31" s="146">
        <v>0.77307999999999999</v>
      </c>
      <c r="Z31" s="4">
        <f t="shared" si="0"/>
        <v>1</v>
      </c>
    </row>
    <row r="32" spans="4:26" x14ac:dyDescent="0.25">
      <c r="D32" s="21" t="s">
        <v>38</v>
      </c>
      <c r="E32" s="11">
        <v>1.0810299999999999</v>
      </c>
      <c r="F32" s="16">
        <v>1.04661</v>
      </c>
      <c r="G32" s="149">
        <v>0.93128999999999995</v>
      </c>
      <c r="H32" s="5">
        <v>0.55059000000000002</v>
      </c>
      <c r="I32" s="150">
        <v>0.54476999999999998</v>
      </c>
      <c r="J32" s="150">
        <v>0.50168000000000001</v>
      </c>
      <c r="K32" s="6">
        <v>0.29726999999999998</v>
      </c>
      <c r="L32" s="18">
        <v>0.31497000000000003</v>
      </c>
      <c r="M32" s="146">
        <v>0.23189000000000001</v>
      </c>
      <c r="P32" s="21" t="s">
        <v>38</v>
      </c>
      <c r="Q32" s="11">
        <v>0.49915999999999999</v>
      </c>
      <c r="R32" s="148">
        <v>0.48302</v>
      </c>
      <c r="S32" s="149">
        <v>0.42785000000000001</v>
      </c>
      <c r="T32" s="16">
        <v>0.41056999999999999</v>
      </c>
      <c r="U32" s="148">
        <v>0.40605000000000002</v>
      </c>
      <c r="V32" s="148">
        <v>0.39318999999999998</v>
      </c>
      <c r="W32" s="6">
        <v>0.62082000000000004</v>
      </c>
      <c r="X32" s="6">
        <v>0.62849999999999995</v>
      </c>
      <c r="Y32" s="146">
        <v>0.61826000000000003</v>
      </c>
      <c r="Z32" s="4">
        <f t="shared" si="0"/>
        <v>1</v>
      </c>
    </row>
    <row r="33" spans="4:26" x14ac:dyDescent="0.25">
      <c r="D33" s="21" t="s">
        <v>24</v>
      </c>
      <c r="E33" s="11">
        <v>1.1190199999999999</v>
      </c>
      <c r="F33" s="16">
        <v>1.0689</v>
      </c>
      <c r="G33" s="149">
        <v>1.1117600000000001</v>
      </c>
      <c r="H33" s="5">
        <v>0.33406000000000002</v>
      </c>
      <c r="I33" s="150">
        <v>0.32976</v>
      </c>
      <c r="J33" s="150">
        <v>0.31973000000000001</v>
      </c>
      <c r="K33" s="6">
        <v>0.44832</v>
      </c>
      <c r="L33" s="155">
        <v>0.43278</v>
      </c>
      <c r="M33" s="146">
        <v>0.39439999999999997</v>
      </c>
      <c r="P33" s="21" t="s">
        <v>24</v>
      </c>
      <c r="Q33" s="11">
        <v>0.20785999999999999</v>
      </c>
      <c r="R33" s="148">
        <v>0.19975000000000001</v>
      </c>
      <c r="S33" s="149">
        <v>0.20011999999999999</v>
      </c>
      <c r="T33" s="16">
        <v>0.21392</v>
      </c>
      <c r="U33" s="148">
        <v>0.20566999999999999</v>
      </c>
      <c r="V33" s="148">
        <v>0.20211999999999999</v>
      </c>
      <c r="W33" s="6">
        <v>0.51293999999999995</v>
      </c>
      <c r="X33" s="159">
        <v>0.49811</v>
      </c>
      <c r="Y33" s="146">
        <v>0.47659000000000001</v>
      </c>
      <c r="Z33" s="4">
        <f t="shared" si="0"/>
        <v>1</v>
      </c>
    </row>
    <row r="34" spans="4:26" x14ac:dyDescent="0.25">
      <c r="D34" s="21" t="s">
        <v>25</v>
      </c>
      <c r="E34" s="11">
        <v>0.2319</v>
      </c>
      <c r="F34" s="16">
        <v>0.20744000000000001</v>
      </c>
      <c r="G34" s="149">
        <v>0.2016</v>
      </c>
      <c r="H34" s="5">
        <v>0.19744</v>
      </c>
      <c r="I34" s="150">
        <v>0.17868999999999999</v>
      </c>
      <c r="J34" s="150">
        <v>0.17706</v>
      </c>
      <c r="K34" s="6">
        <v>0.69130999999999998</v>
      </c>
      <c r="L34" s="155">
        <v>0.62155000000000005</v>
      </c>
      <c r="M34" s="146">
        <v>0.67371999999999999</v>
      </c>
      <c r="P34" s="21" t="s">
        <v>25</v>
      </c>
      <c r="Q34" s="11">
        <v>0.22756000000000001</v>
      </c>
      <c r="R34" s="148">
        <v>0.2263</v>
      </c>
      <c r="S34" s="149">
        <v>0.22548000000000001</v>
      </c>
      <c r="T34" s="16">
        <v>0.20522000000000001</v>
      </c>
      <c r="U34" s="148">
        <v>0.20463000000000001</v>
      </c>
      <c r="V34" s="16">
        <v>0.20993999999999999</v>
      </c>
      <c r="W34" s="6">
        <v>0.76900000000000002</v>
      </c>
      <c r="X34" s="6">
        <v>0.77034999999999998</v>
      </c>
      <c r="Y34" s="22">
        <v>0.79273000000000005</v>
      </c>
      <c r="Z34" s="4" t="str">
        <f t="shared" si="0"/>
        <v/>
      </c>
    </row>
    <row r="35" spans="4:26" x14ac:dyDescent="0.25">
      <c r="D35" s="21" t="s">
        <v>30</v>
      </c>
      <c r="E35" s="11">
        <v>0.24937000000000001</v>
      </c>
      <c r="F35" s="16">
        <v>0.23055999999999999</v>
      </c>
      <c r="G35" s="149">
        <v>0.22059999999999999</v>
      </c>
      <c r="H35" s="5">
        <v>0.27379999999999999</v>
      </c>
      <c r="I35" s="150">
        <v>0.25822000000000001</v>
      </c>
      <c r="J35" s="150">
        <v>0.24861</v>
      </c>
      <c r="K35" s="6">
        <v>0.82950000000000002</v>
      </c>
      <c r="L35" s="155">
        <v>0.75351999999999997</v>
      </c>
      <c r="M35" s="146">
        <v>0.70162999999999998</v>
      </c>
      <c r="P35" s="21" t="s">
        <v>45</v>
      </c>
      <c r="Q35" s="11">
        <v>0.31818000000000002</v>
      </c>
      <c r="R35" s="16">
        <v>0.32345000000000002</v>
      </c>
      <c r="S35" s="149">
        <v>0.29480000000000001</v>
      </c>
      <c r="T35" s="16">
        <v>0.27334999999999998</v>
      </c>
      <c r="U35" s="16">
        <v>0.27973999999999999</v>
      </c>
      <c r="V35" s="148">
        <v>0.26194000000000001</v>
      </c>
      <c r="W35" s="6">
        <v>0.58228999999999997</v>
      </c>
      <c r="X35" s="6">
        <v>0.59026000000000001</v>
      </c>
      <c r="Y35" s="146">
        <v>0.53283999999999998</v>
      </c>
      <c r="Z35" s="4">
        <f t="shared" si="0"/>
        <v>1</v>
      </c>
    </row>
    <row r="36" spans="4:26" x14ac:dyDescent="0.25">
      <c r="D36" s="21" t="s">
        <v>26</v>
      </c>
      <c r="E36" s="11">
        <v>0.1648</v>
      </c>
      <c r="F36" s="16">
        <v>0.16128999999999999</v>
      </c>
      <c r="G36" s="149">
        <v>0.14829000000000001</v>
      </c>
      <c r="H36" s="5">
        <v>0.15053</v>
      </c>
      <c r="I36" s="150">
        <v>0.14785999999999999</v>
      </c>
      <c r="J36" s="150">
        <v>0.13822000000000001</v>
      </c>
      <c r="K36" s="6">
        <v>0.37247999999999998</v>
      </c>
      <c r="L36" s="155">
        <v>0.36936000000000002</v>
      </c>
      <c r="M36" s="146">
        <v>0.35286000000000001</v>
      </c>
      <c r="P36" s="21" t="s">
        <v>26</v>
      </c>
      <c r="Q36" s="11">
        <v>0.28583999999999998</v>
      </c>
      <c r="R36" s="16">
        <v>0.29519000000000001</v>
      </c>
      <c r="S36" s="149">
        <v>0.27173000000000003</v>
      </c>
      <c r="T36" s="16">
        <v>0.24343999999999999</v>
      </c>
      <c r="U36" s="16">
        <v>0.25264999999999999</v>
      </c>
      <c r="V36" s="148">
        <v>0.2414</v>
      </c>
      <c r="W36" s="6">
        <v>0.63948000000000005</v>
      </c>
      <c r="X36" s="6">
        <v>0.66415000000000002</v>
      </c>
      <c r="Y36" s="146">
        <v>0.61821000000000004</v>
      </c>
      <c r="Z36" s="4">
        <f t="shared" si="0"/>
        <v>1</v>
      </c>
    </row>
    <row r="37" spans="4:26" x14ac:dyDescent="0.25">
      <c r="D37" s="21" t="s">
        <v>27</v>
      </c>
      <c r="E37" s="11">
        <v>0.27328999999999998</v>
      </c>
      <c r="F37" s="16">
        <v>0.29013</v>
      </c>
      <c r="G37" s="149">
        <v>0.22534000000000001</v>
      </c>
      <c r="H37" s="5">
        <v>0.25475999999999999</v>
      </c>
      <c r="I37" s="7">
        <v>0.26524999999999999</v>
      </c>
      <c r="J37" s="150">
        <v>0.23283000000000001</v>
      </c>
      <c r="K37" s="6">
        <v>0.46865000000000001</v>
      </c>
      <c r="L37" s="155">
        <v>0.46732000000000001</v>
      </c>
      <c r="M37" s="146">
        <v>0.39742</v>
      </c>
      <c r="P37" s="21" t="s">
        <v>27</v>
      </c>
      <c r="Q37" s="11">
        <v>0.31842999999999999</v>
      </c>
      <c r="R37" s="148">
        <v>0.30274000000000001</v>
      </c>
      <c r="S37" s="149">
        <v>0.27904000000000001</v>
      </c>
      <c r="T37" s="16">
        <v>0.26578000000000002</v>
      </c>
      <c r="U37" s="148">
        <v>0.26030999999999999</v>
      </c>
      <c r="V37" s="148">
        <v>0.25853999999999999</v>
      </c>
      <c r="W37" s="6">
        <v>0.66615999999999997</v>
      </c>
      <c r="X37" s="6">
        <v>0.69993000000000005</v>
      </c>
      <c r="Y37" s="146">
        <v>0.63936000000000004</v>
      </c>
      <c r="Z37" s="4">
        <f t="shared" si="0"/>
        <v>1</v>
      </c>
    </row>
    <row r="38" spans="4:26" x14ac:dyDescent="0.25">
      <c r="D38" s="21" t="s">
        <v>28</v>
      </c>
      <c r="E38" s="11">
        <v>0.31331999999999999</v>
      </c>
      <c r="F38" s="16">
        <v>0.31435999999999997</v>
      </c>
      <c r="G38" s="149">
        <v>0.31278</v>
      </c>
      <c r="H38" s="5">
        <v>0.38790000000000002</v>
      </c>
      <c r="I38" s="7">
        <v>0.39229999999999998</v>
      </c>
      <c r="J38" s="7">
        <v>0.39656000000000002</v>
      </c>
      <c r="K38" s="6">
        <v>1.2095800000000001</v>
      </c>
      <c r="L38" s="18">
        <v>1.2447900000000001</v>
      </c>
      <c r="M38" s="22">
        <v>1.2537799999999999</v>
      </c>
      <c r="P38" s="21" t="s">
        <v>28</v>
      </c>
      <c r="Q38" s="11">
        <v>0.28364</v>
      </c>
      <c r="R38" s="16">
        <v>0.29611999999999999</v>
      </c>
      <c r="S38" s="149">
        <v>0.27500000000000002</v>
      </c>
      <c r="T38" s="16">
        <v>0.25518000000000002</v>
      </c>
      <c r="U38" s="16">
        <v>0.26157000000000002</v>
      </c>
      <c r="V38" s="16">
        <v>0.25701000000000002</v>
      </c>
      <c r="W38" s="6">
        <v>0.32939000000000002</v>
      </c>
      <c r="X38" s="6">
        <v>0.33456999999999998</v>
      </c>
      <c r="Y38" s="22">
        <v>0.32950000000000002</v>
      </c>
      <c r="Z38" s="4" t="str">
        <f t="shared" si="0"/>
        <v/>
      </c>
    </row>
    <row r="39" spans="4:26" x14ac:dyDescent="0.25">
      <c r="D39" s="21" t="s">
        <v>39</v>
      </c>
      <c r="E39" s="11">
        <v>0.39126</v>
      </c>
      <c r="F39" s="16">
        <v>0.39289000000000002</v>
      </c>
      <c r="G39" s="149">
        <v>0.36020000000000002</v>
      </c>
      <c r="H39" s="5">
        <v>0.50538000000000005</v>
      </c>
      <c r="I39" s="150">
        <v>0.50422</v>
      </c>
      <c r="J39" s="150">
        <v>0.47083000000000003</v>
      </c>
      <c r="K39" s="6">
        <v>1.35592</v>
      </c>
      <c r="L39" s="18">
        <v>1.3578300000000001</v>
      </c>
      <c r="M39" s="146">
        <v>1.2730399999999999</v>
      </c>
      <c r="P39" s="21" t="s">
        <v>39</v>
      </c>
      <c r="Q39" s="11">
        <v>0.4234</v>
      </c>
      <c r="R39" s="148">
        <v>0.41838999999999998</v>
      </c>
      <c r="S39" s="149">
        <v>0.41961999999999999</v>
      </c>
      <c r="T39" s="16">
        <v>0.38740999999999998</v>
      </c>
      <c r="U39" s="148">
        <v>0.38435999999999998</v>
      </c>
      <c r="V39" s="148">
        <v>0.38407999999999998</v>
      </c>
      <c r="W39" s="6">
        <v>0.97141</v>
      </c>
      <c r="X39" s="159">
        <v>0.96316000000000002</v>
      </c>
      <c r="Y39" s="146">
        <v>0.96314</v>
      </c>
      <c r="Z39" s="4">
        <f t="shared" si="0"/>
        <v>1</v>
      </c>
    </row>
    <row r="40" spans="4:26" x14ac:dyDescent="0.25">
      <c r="D40" s="23" t="s">
        <v>40</v>
      </c>
      <c r="E40" s="12">
        <v>0.42674000000000001</v>
      </c>
      <c r="F40" s="17">
        <v>0.41354000000000002</v>
      </c>
      <c r="G40" s="13">
        <v>0.43092999999999998</v>
      </c>
      <c r="H40" s="13">
        <v>0.57972999999999997</v>
      </c>
      <c r="I40" s="150">
        <v>0.55586000000000002</v>
      </c>
      <c r="J40" s="150">
        <v>0.57355999999999996</v>
      </c>
      <c r="K40" s="14">
        <v>0.78756000000000004</v>
      </c>
      <c r="L40" s="156">
        <v>0.74987999999999999</v>
      </c>
      <c r="M40" s="147">
        <v>0.76544999999999996</v>
      </c>
      <c r="P40" s="23" t="s">
        <v>40</v>
      </c>
      <c r="Q40" s="12">
        <v>0.45812000000000003</v>
      </c>
      <c r="R40" s="151">
        <v>0.45432</v>
      </c>
      <c r="S40" s="13">
        <v>0.46550000000000002</v>
      </c>
      <c r="T40" s="17">
        <v>0.47121000000000002</v>
      </c>
      <c r="U40" s="17">
        <v>0.47169</v>
      </c>
      <c r="V40" s="17">
        <v>0.47310999999999998</v>
      </c>
      <c r="W40" s="14">
        <v>0.43558000000000002</v>
      </c>
      <c r="X40" s="160">
        <v>0.43241000000000002</v>
      </c>
      <c r="Y40" s="147">
        <v>0.42825000000000002</v>
      </c>
      <c r="Z40" s="4">
        <f t="shared" si="0"/>
        <v>1</v>
      </c>
    </row>
    <row r="41" spans="4:26" s="7" customFormat="1" x14ac:dyDescent="0.25">
      <c r="D41" s="19" t="s">
        <v>41</v>
      </c>
      <c r="E41" s="174" t="s">
        <v>10</v>
      </c>
      <c r="F41" s="174"/>
      <c r="G41" s="174"/>
      <c r="H41" s="175" t="s">
        <v>11</v>
      </c>
      <c r="I41" s="175"/>
      <c r="J41" s="175"/>
      <c r="K41" s="174" t="s">
        <v>1</v>
      </c>
      <c r="L41" s="174"/>
      <c r="M41" s="174"/>
      <c r="N41" s="4"/>
      <c r="O41" s="4"/>
      <c r="P41" s="19" t="s">
        <v>34</v>
      </c>
      <c r="Q41" s="174" t="s">
        <v>10</v>
      </c>
      <c r="R41" s="174"/>
      <c r="S41" s="174"/>
      <c r="T41" s="174" t="s">
        <v>11</v>
      </c>
      <c r="U41" s="174"/>
      <c r="V41" s="174"/>
      <c r="W41" s="174" t="s">
        <v>1</v>
      </c>
      <c r="X41" s="174"/>
      <c r="Y41" s="174"/>
      <c r="Z41" s="4">
        <f t="shared" si="0"/>
        <v>1</v>
      </c>
    </row>
    <row r="42" spans="4:26" s="7" customFormat="1" ht="25.5" x14ac:dyDescent="0.25">
      <c r="D42" s="20" t="s">
        <v>29</v>
      </c>
      <c r="E42" s="8" t="s">
        <v>31</v>
      </c>
      <c r="F42" s="15" t="s">
        <v>32</v>
      </c>
      <c r="G42" s="9" t="s">
        <v>6</v>
      </c>
      <c r="H42" s="152" t="s">
        <v>31</v>
      </c>
      <c r="I42" s="153" t="s">
        <v>32</v>
      </c>
      <c r="J42" s="154" t="s">
        <v>6</v>
      </c>
      <c r="K42" s="8" t="s">
        <v>31</v>
      </c>
      <c r="L42" s="15" t="s">
        <v>32</v>
      </c>
      <c r="M42" s="15" t="s">
        <v>6</v>
      </c>
      <c r="N42" s="4"/>
      <c r="O42" s="4"/>
      <c r="P42" s="20" t="s">
        <v>29</v>
      </c>
      <c r="Q42" s="8" t="s">
        <v>31</v>
      </c>
      <c r="R42" s="15" t="s">
        <v>32</v>
      </c>
      <c r="S42" s="9" t="s">
        <v>6</v>
      </c>
      <c r="T42" s="8" t="s">
        <v>31</v>
      </c>
      <c r="U42" s="15" t="s">
        <v>32</v>
      </c>
      <c r="V42" s="9" t="s">
        <v>6</v>
      </c>
      <c r="W42" s="8" t="s">
        <v>31</v>
      </c>
      <c r="X42" s="15" t="s">
        <v>32</v>
      </c>
      <c r="Y42" s="15" t="s">
        <v>6</v>
      </c>
      <c r="Z42" s="4" t="str">
        <f t="shared" si="0"/>
        <v/>
      </c>
    </row>
    <row r="43" spans="4:26" s="7" customFormat="1" x14ac:dyDescent="0.25">
      <c r="D43" s="21" t="s">
        <v>20</v>
      </c>
      <c r="E43" s="11">
        <v>0.26057000000000002</v>
      </c>
      <c r="F43" s="16">
        <v>0.26172000000000001</v>
      </c>
      <c r="G43" s="5">
        <v>0.27374999999999999</v>
      </c>
      <c r="H43" s="5">
        <v>0.23102</v>
      </c>
      <c r="I43" s="7">
        <v>0.23147999999999999</v>
      </c>
      <c r="J43" s="7">
        <v>0.24303</v>
      </c>
      <c r="K43" s="6">
        <v>0.67444999999999999</v>
      </c>
      <c r="L43" s="18">
        <v>0.67847999999999997</v>
      </c>
      <c r="M43" s="22">
        <v>0.69467000000000001</v>
      </c>
      <c r="N43" s="4"/>
      <c r="O43" s="4"/>
      <c r="P43" s="21" t="s">
        <v>20</v>
      </c>
      <c r="Q43" s="11">
        <v>0.22469</v>
      </c>
      <c r="R43" s="148">
        <v>0.22463</v>
      </c>
      <c r="S43" s="149">
        <v>0.21454000000000001</v>
      </c>
      <c r="T43" s="16">
        <v>0.2288</v>
      </c>
      <c r="U43" s="5">
        <v>0.22889000000000001</v>
      </c>
      <c r="V43" s="148">
        <v>0.21919</v>
      </c>
      <c r="W43" s="6">
        <v>0.8125</v>
      </c>
      <c r="X43" s="6">
        <v>0.81313000000000002</v>
      </c>
      <c r="Y43" s="146">
        <v>0.78266000000000002</v>
      </c>
      <c r="Z43" s="4">
        <f t="shared" si="0"/>
        <v>1</v>
      </c>
    </row>
    <row r="44" spans="4:26" s="7" customFormat="1" x14ac:dyDescent="0.25">
      <c r="D44" s="21" t="s">
        <v>21</v>
      </c>
      <c r="E44" s="11">
        <v>0.53341000000000005</v>
      </c>
      <c r="F44" s="148">
        <v>0.51888000000000001</v>
      </c>
      <c r="G44" s="149">
        <v>0.51637999999999995</v>
      </c>
      <c r="H44" s="5">
        <v>0.53734999999999999</v>
      </c>
      <c r="I44" s="150">
        <v>0.52964999999999995</v>
      </c>
      <c r="J44" s="150">
        <v>0.49352000000000001</v>
      </c>
      <c r="K44" s="6">
        <v>1.2640899999999999</v>
      </c>
      <c r="L44" s="155">
        <v>1.25759</v>
      </c>
      <c r="M44" s="146">
        <v>1.25302</v>
      </c>
      <c r="N44" s="4"/>
      <c r="O44" s="4"/>
      <c r="P44" s="21" t="s">
        <v>21</v>
      </c>
      <c r="Q44" s="11">
        <v>0.44836999999999999</v>
      </c>
      <c r="R44" s="148">
        <v>0.43874000000000002</v>
      </c>
      <c r="S44" s="5">
        <v>0.48037999999999997</v>
      </c>
      <c r="T44" s="16">
        <v>0.37231999999999998</v>
      </c>
      <c r="U44" s="149">
        <v>0.36814999999999998</v>
      </c>
      <c r="V44" s="148">
        <v>0.34610000000000002</v>
      </c>
      <c r="W44" s="6">
        <v>0.54054000000000002</v>
      </c>
      <c r="X44" s="6">
        <v>0.54451000000000005</v>
      </c>
      <c r="Y44" s="22">
        <v>0.54354000000000002</v>
      </c>
      <c r="Z44" s="4" t="str">
        <f t="shared" si="0"/>
        <v/>
      </c>
    </row>
    <row r="45" spans="4:26" s="7" customFormat="1" x14ac:dyDescent="0.25">
      <c r="D45" s="21" t="s">
        <v>22</v>
      </c>
      <c r="E45" s="11">
        <v>0.31890000000000002</v>
      </c>
      <c r="F45" s="148">
        <v>0.31869999999999998</v>
      </c>
      <c r="G45" s="149">
        <v>0.31179000000000001</v>
      </c>
      <c r="H45" s="5">
        <v>0.34411999999999998</v>
      </c>
      <c r="I45" s="150">
        <v>0.35191</v>
      </c>
      <c r="J45" s="150">
        <v>0.33803</v>
      </c>
      <c r="K45" s="6">
        <v>0.64093</v>
      </c>
      <c r="L45" s="18">
        <v>0.64202999999999999</v>
      </c>
      <c r="M45" s="146">
        <v>0.63473000000000002</v>
      </c>
      <c r="N45" s="4"/>
      <c r="O45" s="4"/>
      <c r="P45" s="21" t="s">
        <v>22</v>
      </c>
      <c r="Q45" s="11">
        <v>0.30670999999999998</v>
      </c>
      <c r="R45" s="148">
        <v>0.30553999999999998</v>
      </c>
      <c r="S45" s="149">
        <v>0.29607</v>
      </c>
      <c r="T45" s="16">
        <v>0.30380000000000001</v>
      </c>
      <c r="U45" s="5">
        <v>0.30851000000000001</v>
      </c>
      <c r="V45" s="148">
        <v>0.29921999999999999</v>
      </c>
      <c r="W45" s="6">
        <v>0.63175999999999999</v>
      </c>
      <c r="X45" s="159">
        <v>0.63070000000000004</v>
      </c>
      <c r="Y45" s="146">
        <v>0.61370999999999998</v>
      </c>
      <c r="Z45" s="4">
        <f t="shared" si="0"/>
        <v>1</v>
      </c>
    </row>
    <row r="46" spans="4:26" s="7" customFormat="1" x14ac:dyDescent="0.25">
      <c r="D46" s="21" t="s">
        <v>23</v>
      </c>
      <c r="E46" s="11">
        <v>0.26983000000000001</v>
      </c>
      <c r="F46" s="148">
        <v>0.26962000000000003</v>
      </c>
      <c r="G46" s="149">
        <v>0.25714999999999999</v>
      </c>
      <c r="H46" s="5">
        <v>0.29407</v>
      </c>
      <c r="I46" s="150">
        <v>0.29010999999999998</v>
      </c>
      <c r="J46" s="150">
        <v>0.27444000000000002</v>
      </c>
      <c r="K46" s="6">
        <v>0.54374999999999996</v>
      </c>
      <c r="L46" s="155">
        <v>0.53093999999999997</v>
      </c>
      <c r="M46" s="146">
        <v>0.53029999999999999</v>
      </c>
      <c r="N46" s="4"/>
      <c r="O46" s="4"/>
      <c r="P46" s="21" t="s">
        <v>23</v>
      </c>
      <c r="Q46" s="11">
        <v>0.28299999999999997</v>
      </c>
      <c r="R46" s="148">
        <v>0.28134999999999999</v>
      </c>
      <c r="S46" s="149">
        <v>0.27893000000000001</v>
      </c>
      <c r="T46" s="16">
        <v>0.30623</v>
      </c>
      <c r="U46" s="149">
        <v>0.30513000000000001</v>
      </c>
      <c r="V46" s="148">
        <v>0.29748999999999998</v>
      </c>
      <c r="W46" s="6">
        <v>0.66525000000000001</v>
      </c>
      <c r="X46" s="6">
        <v>0.66571999999999998</v>
      </c>
      <c r="Y46" s="146">
        <v>0.65571000000000002</v>
      </c>
      <c r="Z46" s="4">
        <f t="shared" si="0"/>
        <v>1</v>
      </c>
    </row>
    <row r="47" spans="4:26" s="7" customFormat="1" x14ac:dyDescent="0.25">
      <c r="D47" s="21" t="s">
        <v>37</v>
      </c>
      <c r="E47" s="11">
        <v>0.30897000000000002</v>
      </c>
      <c r="F47" s="16">
        <v>0.31070999999999999</v>
      </c>
      <c r="G47" s="5">
        <v>0.31433</v>
      </c>
      <c r="H47" s="5">
        <v>0.27925</v>
      </c>
      <c r="I47" s="7">
        <v>0.27722999999999998</v>
      </c>
      <c r="J47" s="150">
        <v>0.27911000000000002</v>
      </c>
      <c r="K47" s="6">
        <v>0.87331999999999999</v>
      </c>
      <c r="L47" s="155">
        <v>0.87272000000000005</v>
      </c>
      <c r="M47" s="22">
        <v>0.88873000000000002</v>
      </c>
      <c r="N47" s="4"/>
      <c r="O47" s="4"/>
      <c r="P47" s="21" t="s">
        <v>37</v>
      </c>
      <c r="Q47" s="11">
        <v>0.23683999999999999</v>
      </c>
      <c r="R47" s="148">
        <v>0.23286000000000001</v>
      </c>
      <c r="S47" s="149">
        <v>0.23044000000000001</v>
      </c>
      <c r="T47" s="16">
        <v>0.24651000000000001</v>
      </c>
      <c r="U47" s="149">
        <v>0.24149000000000001</v>
      </c>
      <c r="V47" s="148">
        <v>0.23069999999999999</v>
      </c>
      <c r="W47" s="6">
        <v>0.93625999999999998</v>
      </c>
      <c r="X47" s="6">
        <v>0.91698999999999997</v>
      </c>
      <c r="Y47" s="146">
        <v>0.87802999999999998</v>
      </c>
      <c r="Z47" s="4">
        <f t="shared" si="0"/>
        <v>1</v>
      </c>
    </row>
    <row r="48" spans="4:26" x14ac:dyDescent="0.25">
      <c r="D48" s="21" t="s">
        <v>36</v>
      </c>
      <c r="E48" s="11">
        <v>0.34788000000000002</v>
      </c>
      <c r="F48" s="16">
        <v>0.37381999999999999</v>
      </c>
      <c r="G48" s="149">
        <v>0.34759000000000001</v>
      </c>
      <c r="H48" s="5">
        <v>0.40667999999999999</v>
      </c>
      <c r="I48" s="150">
        <v>0.44102000000000002</v>
      </c>
      <c r="J48" s="150">
        <v>0.38578000000000001</v>
      </c>
      <c r="K48" s="6">
        <v>0.36401</v>
      </c>
      <c r="L48" s="18">
        <v>0.42103000000000002</v>
      </c>
      <c r="M48" s="146">
        <v>0.33122000000000001</v>
      </c>
      <c r="P48" s="21" t="s">
        <v>36</v>
      </c>
      <c r="Q48" s="11">
        <v>0.43957000000000002</v>
      </c>
      <c r="R48" s="148">
        <v>0.43514999999999998</v>
      </c>
      <c r="S48" s="5">
        <v>0.46328999999999998</v>
      </c>
      <c r="T48" s="16">
        <v>0.45162000000000002</v>
      </c>
      <c r="U48" s="5">
        <v>0.46092</v>
      </c>
      <c r="V48" s="148">
        <v>0.44757000000000002</v>
      </c>
      <c r="W48" s="6">
        <v>0.77951000000000004</v>
      </c>
      <c r="X48" s="6">
        <v>0.79590000000000005</v>
      </c>
      <c r="Y48" s="146">
        <v>0.77637</v>
      </c>
      <c r="Z48" s="4">
        <f t="shared" si="0"/>
        <v>1</v>
      </c>
    </row>
    <row r="49" spans="4:26" x14ac:dyDescent="0.25">
      <c r="D49" s="21" t="s">
        <v>38</v>
      </c>
      <c r="E49" s="11">
        <v>0.57616999999999996</v>
      </c>
      <c r="F49" s="148">
        <v>0.53388000000000002</v>
      </c>
      <c r="G49" s="149">
        <v>0.51188</v>
      </c>
      <c r="H49" s="5">
        <v>0.38639000000000001</v>
      </c>
      <c r="I49" s="150">
        <v>0.37031999999999998</v>
      </c>
      <c r="J49" s="150">
        <v>0.36846000000000001</v>
      </c>
      <c r="K49" s="6">
        <v>0.39319999999999999</v>
      </c>
      <c r="L49" s="18">
        <v>0.41909000000000002</v>
      </c>
      <c r="M49" s="22">
        <v>0.40858</v>
      </c>
      <c r="P49" s="21" t="s">
        <v>38</v>
      </c>
      <c r="Q49" s="11">
        <v>0.53078000000000003</v>
      </c>
      <c r="R49" s="148">
        <v>0.50288999999999995</v>
      </c>
      <c r="S49" s="149">
        <v>0.44442999999999999</v>
      </c>
      <c r="T49" s="16">
        <v>0.43274000000000001</v>
      </c>
      <c r="U49" s="149">
        <v>0.42466999999999999</v>
      </c>
      <c r="V49" s="148">
        <v>0.40490999999999999</v>
      </c>
      <c r="W49" s="6">
        <v>0.62624999999999997</v>
      </c>
      <c r="X49" s="6">
        <v>0.62877000000000005</v>
      </c>
      <c r="Y49" s="146">
        <v>0.61870000000000003</v>
      </c>
      <c r="Z49" s="4">
        <f t="shared" si="0"/>
        <v>1</v>
      </c>
    </row>
    <row r="50" spans="4:26" x14ac:dyDescent="0.25">
      <c r="D50" s="21" t="s">
        <v>24</v>
      </c>
      <c r="E50" s="11">
        <v>0.49852000000000002</v>
      </c>
      <c r="F50" s="148">
        <v>0.47876999999999997</v>
      </c>
      <c r="G50" s="149">
        <v>0.49053999999999998</v>
      </c>
      <c r="H50" s="5">
        <v>0.28328999999999999</v>
      </c>
      <c r="I50" s="150">
        <v>0.27592</v>
      </c>
      <c r="J50" s="150">
        <v>0.27113999999999999</v>
      </c>
      <c r="K50" s="6">
        <v>0.51765000000000005</v>
      </c>
      <c r="L50" s="155">
        <v>0.50190999999999997</v>
      </c>
      <c r="M50" s="146">
        <v>0.48453000000000002</v>
      </c>
      <c r="P50" s="21" t="s">
        <v>24</v>
      </c>
      <c r="Q50" s="11">
        <v>0.20741000000000001</v>
      </c>
      <c r="R50" s="148">
        <v>0.20244000000000001</v>
      </c>
      <c r="S50" s="149">
        <v>0.19506999999999999</v>
      </c>
      <c r="T50" s="16">
        <v>0.22045999999999999</v>
      </c>
      <c r="U50" s="149">
        <v>0.21515999999999999</v>
      </c>
      <c r="V50" s="148">
        <v>0.20344000000000001</v>
      </c>
      <c r="W50" s="6">
        <v>0.54564000000000001</v>
      </c>
      <c r="X50" s="159">
        <v>0.53766000000000003</v>
      </c>
      <c r="Y50" s="146">
        <v>0.49609999999999999</v>
      </c>
      <c r="Z50" s="4">
        <f t="shared" si="0"/>
        <v>1</v>
      </c>
    </row>
    <row r="51" spans="4:26" x14ac:dyDescent="0.25">
      <c r="D51" s="21" t="s">
        <v>25</v>
      </c>
      <c r="E51" s="11">
        <v>0.25763999999999998</v>
      </c>
      <c r="F51" s="148">
        <v>0.24348</v>
      </c>
      <c r="G51" s="149">
        <v>0.22894</v>
      </c>
      <c r="H51" s="5">
        <v>0.21013000000000001</v>
      </c>
      <c r="I51" s="150">
        <v>0.20118</v>
      </c>
      <c r="J51" s="150">
        <v>0.19331999999999999</v>
      </c>
      <c r="K51" s="6">
        <v>0.74824000000000002</v>
      </c>
      <c r="L51" s="155">
        <v>0.71106000000000003</v>
      </c>
      <c r="M51" s="146">
        <v>0.68933999999999995</v>
      </c>
      <c r="P51" s="21" t="s">
        <v>25</v>
      </c>
      <c r="Q51" s="11">
        <v>0.25594</v>
      </c>
      <c r="R51" s="16">
        <v>0.25617000000000001</v>
      </c>
      <c r="S51" s="149">
        <v>0.24776000000000001</v>
      </c>
      <c r="T51" s="16">
        <v>0.22342999999999999</v>
      </c>
      <c r="U51" s="5">
        <v>0.22417999999999999</v>
      </c>
      <c r="V51" s="148">
        <v>0.22323000000000001</v>
      </c>
      <c r="W51" s="6">
        <v>0.85145999999999999</v>
      </c>
      <c r="X51" s="6">
        <v>0.86151999999999995</v>
      </c>
      <c r="Y51" s="22">
        <v>0.86046999999999996</v>
      </c>
      <c r="Z51" s="4" t="str">
        <f t="shared" si="0"/>
        <v/>
      </c>
    </row>
    <row r="52" spans="4:26" x14ac:dyDescent="0.25">
      <c r="D52" s="21" t="s">
        <v>30</v>
      </c>
      <c r="E52" s="11">
        <v>0.30619000000000002</v>
      </c>
      <c r="F52" s="148">
        <v>0.29976000000000003</v>
      </c>
      <c r="G52" s="149">
        <v>0.28111000000000003</v>
      </c>
      <c r="H52" s="5">
        <v>0.34516999999999998</v>
      </c>
      <c r="I52" s="150">
        <v>0.34027000000000002</v>
      </c>
      <c r="J52" s="150">
        <v>0.32777000000000001</v>
      </c>
      <c r="K52" s="6">
        <v>1.03163</v>
      </c>
      <c r="L52" s="155">
        <v>1.0075799999999999</v>
      </c>
      <c r="M52" s="146">
        <v>0.96733999999999998</v>
      </c>
      <c r="P52" s="21" t="s">
        <v>45</v>
      </c>
      <c r="Q52" s="11">
        <v>0.38016</v>
      </c>
      <c r="R52" s="16">
        <v>0.38929999999999998</v>
      </c>
      <c r="S52" s="149">
        <v>0.33876000000000001</v>
      </c>
      <c r="T52" s="16">
        <v>0.30571999999999999</v>
      </c>
      <c r="U52" s="5">
        <v>0.31552000000000002</v>
      </c>
      <c r="V52" s="148">
        <v>0.27882000000000001</v>
      </c>
      <c r="W52" s="6">
        <v>0.67879</v>
      </c>
      <c r="X52" s="6">
        <v>0.69306999999999996</v>
      </c>
      <c r="Y52" s="146">
        <v>0.58140000000000003</v>
      </c>
      <c r="Z52" s="4">
        <f t="shared" si="0"/>
        <v>1</v>
      </c>
    </row>
    <row r="53" spans="4:26" x14ac:dyDescent="0.25">
      <c r="D53" s="21" t="s">
        <v>26</v>
      </c>
      <c r="E53" s="11">
        <v>0.28633999999999998</v>
      </c>
      <c r="F53" s="148">
        <v>0.27790999999999999</v>
      </c>
      <c r="G53" s="149">
        <v>0.26494000000000001</v>
      </c>
      <c r="H53" s="5">
        <v>0.25966</v>
      </c>
      <c r="I53" s="150">
        <v>0.25306000000000001</v>
      </c>
      <c r="J53" s="150">
        <v>0.24693000000000001</v>
      </c>
      <c r="K53" s="6">
        <v>0.68925999999999998</v>
      </c>
      <c r="L53" s="155">
        <v>0.67681000000000002</v>
      </c>
      <c r="M53" s="146">
        <v>0.6573</v>
      </c>
      <c r="P53" s="21" t="s">
        <v>26</v>
      </c>
      <c r="Q53" s="11">
        <v>0.33051999999999998</v>
      </c>
      <c r="R53" s="16">
        <v>0.33878999999999998</v>
      </c>
      <c r="S53" s="149">
        <v>0.29948000000000002</v>
      </c>
      <c r="T53" s="16">
        <v>0.27112999999999998</v>
      </c>
      <c r="U53" s="5">
        <v>0.27594000000000002</v>
      </c>
      <c r="V53" s="148">
        <v>0.25640000000000002</v>
      </c>
      <c r="W53" s="6">
        <v>0.74002999999999997</v>
      </c>
      <c r="X53" s="6">
        <v>0.76141000000000003</v>
      </c>
      <c r="Y53" s="146">
        <v>0.67525999999999997</v>
      </c>
      <c r="Z53" s="4">
        <f t="shared" si="0"/>
        <v>1</v>
      </c>
    </row>
    <row r="54" spans="4:26" x14ac:dyDescent="0.25">
      <c r="D54" s="21" t="s">
        <v>27</v>
      </c>
      <c r="E54" s="11">
        <v>0.26508999999999999</v>
      </c>
      <c r="F54" s="148">
        <v>0.26212999999999997</v>
      </c>
      <c r="G54" s="149">
        <v>0.23168</v>
      </c>
      <c r="H54" s="5">
        <v>0.24345</v>
      </c>
      <c r="I54" s="150">
        <v>0.25438</v>
      </c>
      <c r="J54" s="150">
        <v>0.23648</v>
      </c>
      <c r="K54" s="6">
        <v>0.47564000000000001</v>
      </c>
      <c r="L54" s="155">
        <v>0.46394000000000002</v>
      </c>
      <c r="M54" s="146">
        <v>0.42853999999999998</v>
      </c>
      <c r="P54" s="21" t="s">
        <v>27</v>
      </c>
      <c r="Q54" s="11">
        <v>0.33893000000000001</v>
      </c>
      <c r="R54" s="148">
        <v>0.31411</v>
      </c>
      <c r="S54" s="149">
        <v>0.28711999999999999</v>
      </c>
      <c r="T54" s="16">
        <v>0.27017999999999998</v>
      </c>
      <c r="U54" s="149">
        <v>0.26119999999999999</v>
      </c>
      <c r="V54" s="148">
        <v>0.25389</v>
      </c>
      <c r="W54" s="6">
        <v>0.66312000000000004</v>
      </c>
      <c r="X54" s="6">
        <v>0.68905000000000005</v>
      </c>
      <c r="Y54" s="146">
        <v>0.63</v>
      </c>
      <c r="Z54" s="4">
        <f t="shared" si="0"/>
        <v>1</v>
      </c>
    </row>
    <row r="55" spans="4:26" x14ac:dyDescent="0.25">
      <c r="D55" s="21" t="s">
        <v>28</v>
      </c>
      <c r="E55" s="11">
        <v>0.36381000000000002</v>
      </c>
      <c r="F55" s="148">
        <v>0.35638999999999998</v>
      </c>
      <c r="G55" s="149">
        <v>0.35302</v>
      </c>
      <c r="H55" s="5">
        <v>0.35671999999999998</v>
      </c>
      <c r="I55" s="150">
        <v>0.35527999999999998</v>
      </c>
      <c r="J55" s="7">
        <v>0.35841000000000001</v>
      </c>
      <c r="K55" s="6">
        <v>0.70870999999999995</v>
      </c>
      <c r="L55" s="18">
        <v>0.71982000000000002</v>
      </c>
      <c r="M55" s="22">
        <v>0.72014</v>
      </c>
      <c r="P55" s="21" t="s">
        <v>28</v>
      </c>
      <c r="Q55" s="11">
        <v>0.30321999999999999</v>
      </c>
      <c r="R55" s="16">
        <v>0.31883</v>
      </c>
      <c r="S55" s="149">
        <v>0.28978999999999999</v>
      </c>
      <c r="T55" s="16">
        <v>0.26708999999999999</v>
      </c>
      <c r="U55" s="5">
        <v>0.27260000000000001</v>
      </c>
      <c r="V55" s="148">
        <v>0.26593</v>
      </c>
      <c r="W55" s="6">
        <v>0.34277000000000002</v>
      </c>
      <c r="X55" s="6">
        <v>0.34792000000000001</v>
      </c>
      <c r="Y55" s="22">
        <v>0.34497</v>
      </c>
      <c r="Z55" s="4" t="str">
        <f t="shared" si="0"/>
        <v/>
      </c>
    </row>
    <row r="56" spans="4:26" x14ac:dyDescent="0.25">
      <c r="D56" s="21" t="s">
        <v>39</v>
      </c>
      <c r="E56" s="11">
        <v>0.35013</v>
      </c>
      <c r="F56" s="148">
        <v>0.35013</v>
      </c>
      <c r="G56" s="149">
        <v>0.32057000000000002</v>
      </c>
      <c r="H56" s="5">
        <v>0.40919</v>
      </c>
      <c r="I56" s="150">
        <v>0.40797</v>
      </c>
      <c r="J56" s="150">
        <v>0.37535000000000002</v>
      </c>
      <c r="K56" s="6">
        <v>0.99356</v>
      </c>
      <c r="L56" s="18">
        <v>0.99409999999999998</v>
      </c>
      <c r="M56" s="146">
        <v>0.92798000000000003</v>
      </c>
      <c r="P56" s="21" t="s">
        <v>39</v>
      </c>
      <c r="Q56" s="11">
        <v>0.42927999999999999</v>
      </c>
      <c r="R56" s="148">
        <v>0.42742999999999998</v>
      </c>
      <c r="S56" s="149">
        <v>0.42813000000000001</v>
      </c>
      <c r="T56" s="16">
        <v>0.39372000000000001</v>
      </c>
      <c r="U56" s="149">
        <v>0.39245000000000002</v>
      </c>
      <c r="V56" s="148">
        <v>0.39073000000000002</v>
      </c>
      <c r="W56" s="6">
        <v>0.99702000000000002</v>
      </c>
      <c r="X56" s="159">
        <v>0.99451999999999996</v>
      </c>
      <c r="Y56" s="146">
        <v>0.99255000000000004</v>
      </c>
      <c r="Z56" s="4">
        <f t="shared" si="0"/>
        <v>1</v>
      </c>
    </row>
    <row r="57" spans="4:26" x14ac:dyDescent="0.25">
      <c r="D57" s="23" t="s">
        <v>40</v>
      </c>
      <c r="E57" s="12">
        <v>0.56164999999999998</v>
      </c>
      <c r="F57" s="151">
        <v>0.55864999999999998</v>
      </c>
      <c r="G57" s="13">
        <v>0.59479000000000004</v>
      </c>
      <c r="H57" s="13">
        <v>0.58298000000000005</v>
      </c>
      <c r="I57" s="7">
        <v>0.58318000000000003</v>
      </c>
      <c r="J57" s="7">
        <v>0.59687000000000001</v>
      </c>
      <c r="K57" s="14">
        <v>0.61965000000000003</v>
      </c>
      <c r="L57" s="156">
        <v>0.60909999999999997</v>
      </c>
      <c r="M57" s="147">
        <v>0.61017999999999994</v>
      </c>
      <c r="P57" s="23" t="s">
        <v>40</v>
      </c>
      <c r="Q57" s="12">
        <v>0.46800000000000003</v>
      </c>
      <c r="R57" s="151">
        <v>0.45650000000000002</v>
      </c>
      <c r="S57" s="157">
        <v>0.4501</v>
      </c>
      <c r="T57" s="17">
        <v>0.47294999999999998</v>
      </c>
      <c r="U57" s="157">
        <v>0.46936</v>
      </c>
      <c r="V57" s="151">
        <v>0.45177</v>
      </c>
      <c r="W57" s="14">
        <v>0.44379000000000002</v>
      </c>
      <c r="X57" s="160">
        <v>0.44188</v>
      </c>
      <c r="Y57" s="147">
        <v>0.43051</v>
      </c>
      <c r="Z57" s="4">
        <f t="shared" si="0"/>
        <v>1</v>
      </c>
    </row>
    <row r="58" spans="4:26" x14ac:dyDescent="0.25">
      <c r="D58" s="19" t="s">
        <v>43</v>
      </c>
      <c r="E58" s="174" t="s">
        <v>10</v>
      </c>
      <c r="F58" s="174"/>
      <c r="G58" s="174"/>
      <c r="H58" s="175" t="s">
        <v>11</v>
      </c>
      <c r="I58" s="175"/>
      <c r="J58" s="175"/>
      <c r="K58" s="174" t="s">
        <v>1</v>
      </c>
      <c r="L58" s="174"/>
      <c r="M58" s="174"/>
      <c r="P58" s="19" t="s">
        <v>35</v>
      </c>
      <c r="Q58" s="174" t="s">
        <v>10</v>
      </c>
      <c r="R58" s="174"/>
      <c r="S58" s="174"/>
      <c r="T58" s="174" t="s">
        <v>11</v>
      </c>
      <c r="U58" s="174"/>
      <c r="V58" s="174"/>
      <c r="W58" s="174" t="s">
        <v>1</v>
      </c>
      <c r="X58" s="174"/>
      <c r="Y58" s="174"/>
      <c r="Z58" s="4">
        <f t="shared" si="0"/>
        <v>1</v>
      </c>
    </row>
    <row r="59" spans="4:26" ht="25.5" x14ac:dyDescent="0.25">
      <c r="D59" s="20" t="s">
        <v>29</v>
      </c>
      <c r="E59" s="8" t="s">
        <v>31</v>
      </c>
      <c r="F59" s="15" t="s">
        <v>32</v>
      </c>
      <c r="G59" s="9" t="s">
        <v>6</v>
      </c>
      <c r="H59" s="152" t="s">
        <v>31</v>
      </c>
      <c r="I59" s="153" t="s">
        <v>32</v>
      </c>
      <c r="J59" s="154" t="s">
        <v>6</v>
      </c>
      <c r="K59" s="8" t="s">
        <v>31</v>
      </c>
      <c r="L59" s="15" t="s">
        <v>32</v>
      </c>
      <c r="M59" s="15" t="s">
        <v>6</v>
      </c>
      <c r="P59" s="20" t="s">
        <v>29</v>
      </c>
      <c r="Q59" s="8" t="s">
        <v>31</v>
      </c>
      <c r="R59" s="15" t="s">
        <v>32</v>
      </c>
      <c r="S59" s="9" t="s">
        <v>6</v>
      </c>
      <c r="T59" s="8" t="s">
        <v>31</v>
      </c>
      <c r="U59" s="15" t="s">
        <v>32</v>
      </c>
      <c r="V59" s="9" t="s">
        <v>6</v>
      </c>
      <c r="W59" s="8" t="s">
        <v>31</v>
      </c>
      <c r="X59" s="15" t="s">
        <v>32</v>
      </c>
      <c r="Y59" s="15" t="s">
        <v>6</v>
      </c>
      <c r="Z59" s="4" t="str">
        <f t="shared" si="0"/>
        <v/>
      </c>
    </row>
    <row r="60" spans="4:26" x14ac:dyDescent="0.25">
      <c r="D60" s="21" t="s">
        <v>20</v>
      </c>
      <c r="E60" s="11">
        <v>0.2311</v>
      </c>
      <c r="F60" s="16">
        <v>0.23949999999999999</v>
      </c>
      <c r="G60" s="5">
        <v>0.24196999999999999</v>
      </c>
      <c r="H60" s="5">
        <v>0.20666999999999999</v>
      </c>
      <c r="I60" s="7">
        <v>0.21221999999999999</v>
      </c>
      <c r="J60" s="7">
        <v>0.21651000000000001</v>
      </c>
      <c r="K60" s="6">
        <v>0.63334999999999997</v>
      </c>
      <c r="L60" s="18">
        <v>0.65224000000000004</v>
      </c>
      <c r="M60" s="22">
        <v>0.65429999999999999</v>
      </c>
      <c r="P60" s="21" t="s">
        <v>20</v>
      </c>
      <c r="Q60" s="11">
        <v>0.21626999999999999</v>
      </c>
      <c r="R60" s="148">
        <v>0.21584999999999999</v>
      </c>
      <c r="S60" s="149">
        <v>0.20576</v>
      </c>
      <c r="T60" s="16">
        <v>0.22276000000000001</v>
      </c>
      <c r="U60" s="149">
        <v>0.22184000000000001</v>
      </c>
      <c r="V60" s="148">
        <v>0.21260000000000001</v>
      </c>
      <c r="W60" s="6">
        <v>0.78361999999999998</v>
      </c>
      <c r="X60" s="159">
        <v>0.78083000000000002</v>
      </c>
      <c r="Y60" s="146">
        <v>0.75688999999999995</v>
      </c>
      <c r="Z60" s="4">
        <f t="shared" si="0"/>
        <v>1</v>
      </c>
    </row>
    <row r="61" spans="4:26" x14ac:dyDescent="0.25">
      <c r="D61" s="21" t="s">
        <v>21</v>
      </c>
      <c r="E61" s="11">
        <v>0.38274999999999998</v>
      </c>
      <c r="F61" s="148">
        <v>0.37523000000000001</v>
      </c>
      <c r="G61" s="149">
        <v>0.36112</v>
      </c>
      <c r="H61" s="5">
        <v>0.43997999999999998</v>
      </c>
      <c r="I61" s="150">
        <v>0.4299</v>
      </c>
      <c r="J61" s="150">
        <v>0.39634000000000003</v>
      </c>
      <c r="K61" s="6">
        <v>0.89007000000000003</v>
      </c>
      <c r="L61" s="18">
        <v>0.89724999999999999</v>
      </c>
      <c r="M61" s="146">
        <v>0.88353000000000004</v>
      </c>
      <c r="P61" s="21" t="s">
        <v>21</v>
      </c>
      <c r="Q61" s="11">
        <v>0.50226000000000004</v>
      </c>
      <c r="R61" s="148">
        <v>0.46617999999999998</v>
      </c>
      <c r="S61" s="5">
        <v>0.55135000000000001</v>
      </c>
      <c r="T61" s="16">
        <v>0.41559000000000001</v>
      </c>
      <c r="U61" s="149">
        <v>0.40783000000000003</v>
      </c>
      <c r="V61" s="148">
        <v>0.38406000000000001</v>
      </c>
      <c r="W61" s="6">
        <v>0.62546000000000002</v>
      </c>
      <c r="X61" s="159">
        <v>0.61721999999999999</v>
      </c>
      <c r="Y61" s="146">
        <v>0.62470000000000003</v>
      </c>
      <c r="Z61" s="4">
        <f t="shared" si="0"/>
        <v>1</v>
      </c>
    </row>
    <row r="62" spans="4:26" x14ac:dyDescent="0.25">
      <c r="D62" s="21" t="s">
        <v>22</v>
      </c>
      <c r="E62" s="11">
        <v>0.33172000000000001</v>
      </c>
      <c r="F62" s="148">
        <v>0.32591999999999999</v>
      </c>
      <c r="G62" s="149">
        <v>0.32325999999999999</v>
      </c>
      <c r="H62" s="5">
        <v>0.34813</v>
      </c>
      <c r="I62" s="150">
        <v>0.34793000000000002</v>
      </c>
      <c r="J62" s="150">
        <v>0.34149000000000002</v>
      </c>
      <c r="K62" s="6">
        <v>0.79520000000000002</v>
      </c>
      <c r="L62" s="155">
        <v>0.78622000000000003</v>
      </c>
      <c r="M62" s="146">
        <v>0.78247999999999995</v>
      </c>
      <c r="P62" s="21" t="s">
        <v>22</v>
      </c>
      <c r="Q62" s="11">
        <v>0.31281999999999999</v>
      </c>
      <c r="R62" s="148">
        <v>0.31002999999999997</v>
      </c>
      <c r="S62" s="149">
        <v>0.30103999999999997</v>
      </c>
      <c r="T62" s="16">
        <v>0.31590000000000001</v>
      </c>
      <c r="U62" s="5">
        <v>0.31935000000000002</v>
      </c>
      <c r="V62" s="148">
        <v>0.31047999999999998</v>
      </c>
      <c r="W62" s="6">
        <v>0.70701999999999998</v>
      </c>
      <c r="X62" s="159">
        <v>0.70269000000000004</v>
      </c>
      <c r="Y62" s="146">
        <v>0.68293000000000004</v>
      </c>
      <c r="Z62" s="4">
        <f t="shared" si="0"/>
        <v>1</v>
      </c>
    </row>
    <row r="63" spans="4:26" x14ac:dyDescent="0.25">
      <c r="D63" s="21" t="s">
        <v>23</v>
      </c>
      <c r="E63" s="11">
        <v>0.32499</v>
      </c>
      <c r="F63" s="148">
        <v>0.31836999999999999</v>
      </c>
      <c r="G63" s="149">
        <v>0.30953999999999998</v>
      </c>
      <c r="H63" s="5">
        <v>0.37404999999999999</v>
      </c>
      <c r="I63" s="150">
        <v>0.36598000000000003</v>
      </c>
      <c r="J63" s="150">
        <v>0.35256999999999999</v>
      </c>
      <c r="K63" s="6">
        <v>0.66505999999999998</v>
      </c>
      <c r="L63" s="155">
        <v>0.64688000000000001</v>
      </c>
      <c r="M63" s="146">
        <v>0.62943000000000005</v>
      </c>
      <c r="P63" s="21" t="s">
        <v>23</v>
      </c>
      <c r="Q63" s="11">
        <v>0.32094</v>
      </c>
      <c r="R63" s="148">
        <v>0.31842999999999999</v>
      </c>
      <c r="S63" s="149">
        <v>0.311</v>
      </c>
      <c r="T63" s="16">
        <v>0.31905</v>
      </c>
      <c r="U63" s="149">
        <v>0.31644</v>
      </c>
      <c r="V63" s="148">
        <v>0.30431999999999998</v>
      </c>
      <c r="W63" s="6">
        <v>0.81552999999999998</v>
      </c>
      <c r="X63" s="159">
        <v>0.81325000000000003</v>
      </c>
      <c r="Y63" s="146">
        <v>0.79781999999999997</v>
      </c>
      <c r="Z63" s="4">
        <f t="shared" si="0"/>
        <v>1</v>
      </c>
    </row>
    <row r="64" spans="4:26" x14ac:dyDescent="0.25">
      <c r="D64" s="21" t="s">
        <v>37</v>
      </c>
      <c r="E64" s="11">
        <v>0.29248000000000002</v>
      </c>
      <c r="F64" s="16">
        <v>0.29416999999999999</v>
      </c>
      <c r="G64" s="5">
        <v>0.30368000000000001</v>
      </c>
      <c r="H64" s="5">
        <v>0.26993</v>
      </c>
      <c r="I64" s="7">
        <v>0.26508999999999999</v>
      </c>
      <c r="J64" s="7">
        <v>0.27207999999999999</v>
      </c>
      <c r="K64" s="6">
        <v>0.84494999999999998</v>
      </c>
      <c r="L64" s="155">
        <v>0.82872999999999997</v>
      </c>
      <c r="M64" s="22">
        <v>0.85219999999999996</v>
      </c>
      <c r="P64" s="21" t="s">
        <v>37</v>
      </c>
      <c r="Q64" s="11">
        <v>0.32828000000000002</v>
      </c>
      <c r="R64" s="148">
        <v>0.32368999999999998</v>
      </c>
      <c r="S64" s="149">
        <v>0.32801000000000002</v>
      </c>
      <c r="T64" s="16">
        <v>0.27021000000000001</v>
      </c>
      <c r="U64" s="149">
        <v>0.26191999999999999</v>
      </c>
      <c r="V64" s="148">
        <v>0.25361</v>
      </c>
      <c r="W64" s="6">
        <v>0.97411999999999999</v>
      </c>
      <c r="X64" s="159">
        <v>0.94532000000000005</v>
      </c>
      <c r="Y64" s="146">
        <v>0.91644000000000003</v>
      </c>
      <c r="Z64" s="4">
        <f t="shared" si="0"/>
        <v>1</v>
      </c>
    </row>
    <row r="65" spans="4:26" x14ac:dyDescent="0.25">
      <c r="D65" s="21" t="s">
        <v>36</v>
      </c>
      <c r="E65" s="11">
        <v>0.63476999999999995</v>
      </c>
      <c r="F65" s="148">
        <v>0.62017999999999995</v>
      </c>
      <c r="G65" s="149">
        <v>0.61894000000000005</v>
      </c>
      <c r="H65" s="5">
        <v>0.57055</v>
      </c>
      <c r="I65" s="150">
        <v>0.61338999999999999</v>
      </c>
      <c r="J65" s="150">
        <v>0.54347000000000001</v>
      </c>
      <c r="K65" s="6">
        <v>0.85197999999999996</v>
      </c>
      <c r="L65" s="18">
        <v>1.01546</v>
      </c>
      <c r="M65" s="146">
        <v>0.81682999999999995</v>
      </c>
      <c r="P65" s="21" t="s">
        <v>36</v>
      </c>
      <c r="Q65" s="11">
        <v>0.42460999999999999</v>
      </c>
      <c r="R65" s="16">
        <v>0.42837999999999998</v>
      </c>
      <c r="S65" s="5">
        <v>0.44585000000000002</v>
      </c>
      <c r="T65" s="16">
        <v>0.45041999999999999</v>
      </c>
      <c r="U65" s="5">
        <v>0.46148</v>
      </c>
      <c r="V65" s="148">
        <v>0.44663000000000003</v>
      </c>
      <c r="W65" s="6">
        <v>0.76776999999999995</v>
      </c>
      <c r="X65" s="6">
        <v>0.78415000000000001</v>
      </c>
      <c r="Y65" s="146">
        <v>0.76404000000000005</v>
      </c>
      <c r="Z65" s="4">
        <f t="shared" si="0"/>
        <v>1</v>
      </c>
    </row>
    <row r="66" spans="4:26" x14ac:dyDescent="0.25">
      <c r="D66" s="21" t="s">
        <v>38</v>
      </c>
      <c r="E66" s="11">
        <v>0.50446000000000002</v>
      </c>
      <c r="F66" s="148">
        <v>0.47442000000000001</v>
      </c>
      <c r="G66" s="149">
        <v>0.44384000000000001</v>
      </c>
      <c r="H66" s="5">
        <v>0.38562999999999997</v>
      </c>
      <c r="I66" s="150">
        <v>0.37629000000000001</v>
      </c>
      <c r="J66" s="150">
        <v>0.36710999999999999</v>
      </c>
      <c r="K66" s="6">
        <v>0.44750000000000001</v>
      </c>
      <c r="L66" s="18">
        <v>0.46503</v>
      </c>
      <c r="M66" s="146">
        <v>0.43429000000000001</v>
      </c>
      <c r="P66" s="21" t="s">
        <v>38</v>
      </c>
      <c r="Q66" s="11">
        <v>0.54296</v>
      </c>
      <c r="R66" s="148">
        <v>0.50573000000000001</v>
      </c>
      <c r="S66" s="149">
        <v>0.45401000000000002</v>
      </c>
      <c r="T66" s="16">
        <v>0.44097999999999998</v>
      </c>
      <c r="U66" s="149">
        <v>0.43280000000000002</v>
      </c>
      <c r="V66" s="148">
        <v>0.41449000000000003</v>
      </c>
      <c r="W66" s="6">
        <v>0.59192</v>
      </c>
      <c r="X66" s="159">
        <v>0.58925000000000005</v>
      </c>
      <c r="Y66" s="146">
        <v>0.58662000000000003</v>
      </c>
      <c r="Z66" s="4">
        <f t="shared" si="0"/>
        <v>1</v>
      </c>
    </row>
    <row r="67" spans="4:26" x14ac:dyDescent="0.25">
      <c r="D67" s="21" t="s">
        <v>24</v>
      </c>
      <c r="E67" s="11">
        <v>0.38140000000000002</v>
      </c>
      <c r="F67" s="148">
        <v>0.36531000000000002</v>
      </c>
      <c r="G67" s="149">
        <v>0.36748999999999998</v>
      </c>
      <c r="H67" s="5">
        <v>0.29855999999999999</v>
      </c>
      <c r="I67" s="150">
        <v>0.28856999999999999</v>
      </c>
      <c r="J67" s="150">
        <v>0.28126000000000001</v>
      </c>
      <c r="K67" s="6">
        <v>0.60284000000000004</v>
      </c>
      <c r="L67" s="155">
        <v>0.57611999999999997</v>
      </c>
      <c r="M67" s="146">
        <v>0.56564999999999999</v>
      </c>
      <c r="P67" s="21" t="s">
        <v>24</v>
      </c>
      <c r="Q67" s="11">
        <v>0.22292000000000001</v>
      </c>
      <c r="R67" s="148">
        <v>0.22069</v>
      </c>
      <c r="S67" s="149">
        <v>0.20902999999999999</v>
      </c>
      <c r="T67" s="16">
        <v>0.22678000000000001</v>
      </c>
      <c r="U67" s="149">
        <v>0.2243</v>
      </c>
      <c r="V67" s="148">
        <v>0.20768</v>
      </c>
      <c r="W67" s="6">
        <v>0.53729000000000005</v>
      </c>
      <c r="X67" s="159">
        <v>0.53134999999999999</v>
      </c>
      <c r="Y67" s="146">
        <v>0.48303000000000001</v>
      </c>
      <c r="Z67" s="4">
        <f t="shared" si="0"/>
        <v>1</v>
      </c>
    </row>
    <row r="68" spans="4:26" x14ac:dyDescent="0.25">
      <c r="D68" s="21" t="s">
        <v>25</v>
      </c>
      <c r="E68" s="11">
        <v>0.29066999999999998</v>
      </c>
      <c r="F68" s="148">
        <v>0.28938999999999998</v>
      </c>
      <c r="G68" s="149">
        <v>0.26905000000000001</v>
      </c>
      <c r="H68" s="5">
        <v>0.23408000000000001</v>
      </c>
      <c r="I68" s="150">
        <v>0.23427999999999999</v>
      </c>
      <c r="J68" s="150">
        <v>0.22419</v>
      </c>
      <c r="K68" s="6">
        <v>0.88007000000000002</v>
      </c>
      <c r="L68" s="18">
        <v>0.88914000000000004</v>
      </c>
      <c r="M68" s="146">
        <v>0.85270000000000001</v>
      </c>
      <c r="P68" s="21" t="s">
        <v>25</v>
      </c>
      <c r="Q68" s="11">
        <v>0.27318999999999999</v>
      </c>
      <c r="R68" s="16">
        <v>0.27379999999999999</v>
      </c>
      <c r="S68" s="149">
        <v>0.25613999999999998</v>
      </c>
      <c r="T68" s="16">
        <v>0.23485</v>
      </c>
      <c r="U68" s="5">
        <v>0.23566999999999999</v>
      </c>
      <c r="V68" s="148">
        <v>0.22697000000000001</v>
      </c>
      <c r="W68" s="6">
        <v>0.90475000000000005</v>
      </c>
      <c r="X68" s="6">
        <v>0.91293000000000002</v>
      </c>
      <c r="Y68" s="146">
        <v>0.88161999999999996</v>
      </c>
      <c r="Z68" s="4">
        <f t="shared" si="0"/>
        <v>1</v>
      </c>
    </row>
    <row r="69" spans="4:26" x14ac:dyDescent="0.25">
      <c r="D69" s="21" t="s">
        <v>30</v>
      </c>
      <c r="E69" s="11">
        <v>0.40819</v>
      </c>
      <c r="F69" s="148">
        <v>0.39305000000000001</v>
      </c>
      <c r="G69" s="149">
        <v>0.36760999999999999</v>
      </c>
      <c r="H69" s="5">
        <v>0.41415999999999997</v>
      </c>
      <c r="I69" s="150">
        <v>0.40443000000000001</v>
      </c>
      <c r="J69" s="150">
        <v>0.39096999999999998</v>
      </c>
      <c r="K69" s="6">
        <v>1.29695</v>
      </c>
      <c r="L69" s="155">
        <v>1.2602</v>
      </c>
      <c r="M69" s="146">
        <v>1.2080299999999999</v>
      </c>
      <c r="P69" s="21" t="s">
        <v>45</v>
      </c>
      <c r="Q69" s="11">
        <v>0.40489999999999998</v>
      </c>
      <c r="R69" s="16">
        <v>0.42757000000000001</v>
      </c>
      <c r="S69" s="149">
        <v>0.35959000000000002</v>
      </c>
      <c r="T69" s="16">
        <v>0.31946999999999998</v>
      </c>
      <c r="U69" s="5">
        <v>0.33274999999999999</v>
      </c>
      <c r="V69" s="148">
        <v>0.28904000000000002</v>
      </c>
      <c r="W69" s="6">
        <v>0.75812000000000002</v>
      </c>
      <c r="X69" s="6">
        <v>0.79213</v>
      </c>
      <c r="Y69" s="146">
        <v>0.63482000000000005</v>
      </c>
      <c r="Z69" s="4">
        <f t="shared" si="0"/>
        <v>1</v>
      </c>
    </row>
    <row r="70" spans="4:26" x14ac:dyDescent="0.25">
      <c r="D70" s="21" t="s">
        <v>26</v>
      </c>
      <c r="E70" s="11">
        <v>0.29947000000000001</v>
      </c>
      <c r="F70" s="148">
        <v>0.29729</v>
      </c>
      <c r="G70" s="149">
        <v>0.28344999999999998</v>
      </c>
      <c r="H70" s="5">
        <v>0.28367999999999999</v>
      </c>
      <c r="I70" s="150">
        <v>0.28254000000000001</v>
      </c>
      <c r="J70" s="150">
        <v>0.27587</v>
      </c>
      <c r="K70" s="6">
        <v>0.78374999999999995</v>
      </c>
      <c r="L70" s="155">
        <v>0.78258000000000005</v>
      </c>
      <c r="M70" s="146">
        <v>0.75744999999999996</v>
      </c>
      <c r="P70" s="21" t="s">
        <v>26</v>
      </c>
      <c r="Q70" s="11">
        <v>0.42000999999999999</v>
      </c>
      <c r="R70" s="16">
        <v>0.42695</v>
      </c>
      <c r="S70" s="149">
        <v>0.38063999999999998</v>
      </c>
      <c r="T70" s="16">
        <v>0.31961000000000001</v>
      </c>
      <c r="U70" s="5">
        <v>0.32196999999999998</v>
      </c>
      <c r="V70" s="148">
        <v>0.30131000000000002</v>
      </c>
      <c r="W70" s="6">
        <v>0.92413999999999996</v>
      </c>
      <c r="X70" s="6">
        <v>0.94623000000000002</v>
      </c>
      <c r="Y70" s="146">
        <v>0.83379000000000003</v>
      </c>
      <c r="Z70" s="4">
        <f t="shared" si="0"/>
        <v>1</v>
      </c>
    </row>
    <row r="71" spans="4:26" x14ac:dyDescent="0.25">
      <c r="D71" s="21" t="s">
        <v>27</v>
      </c>
      <c r="E71" s="11">
        <v>0.34434999999999999</v>
      </c>
      <c r="F71" s="148">
        <v>0.30268</v>
      </c>
      <c r="G71" s="149">
        <v>0.29432999999999998</v>
      </c>
      <c r="H71" s="5">
        <v>0.27761999999999998</v>
      </c>
      <c r="I71" s="150">
        <v>0.26345000000000002</v>
      </c>
      <c r="J71" s="150">
        <v>0.26207999999999998</v>
      </c>
      <c r="K71" s="6">
        <v>0.57877999999999996</v>
      </c>
      <c r="L71" s="155">
        <v>0.52564</v>
      </c>
      <c r="M71" s="146">
        <v>0.52851000000000004</v>
      </c>
      <c r="P71" s="21" t="s">
        <v>27</v>
      </c>
      <c r="Q71" s="11">
        <v>0.35760999999999998</v>
      </c>
      <c r="R71" s="148">
        <v>0.31619999999999998</v>
      </c>
      <c r="S71" s="149">
        <v>0.29315000000000002</v>
      </c>
      <c r="T71" s="16">
        <v>0.28205999999999998</v>
      </c>
      <c r="U71" s="149">
        <v>0.26349</v>
      </c>
      <c r="V71" s="148">
        <v>0.25312000000000001</v>
      </c>
      <c r="W71" s="6">
        <v>0.75202999999999998</v>
      </c>
      <c r="X71" s="159">
        <v>0.67976000000000003</v>
      </c>
      <c r="Y71" s="146">
        <v>0.69708999999999999</v>
      </c>
      <c r="Z71" s="4">
        <f t="shared" si="0"/>
        <v>1</v>
      </c>
    </row>
    <row r="72" spans="4:26" x14ac:dyDescent="0.25">
      <c r="D72" s="21" t="s">
        <v>28</v>
      </c>
      <c r="E72" s="11">
        <v>0.36187000000000002</v>
      </c>
      <c r="F72" s="16">
        <v>0.36437000000000003</v>
      </c>
      <c r="G72" s="149">
        <v>0.35252</v>
      </c>
      <c r="H72" s="5">
        <v>0.34971000000000002</v>
      </c>
      <c r="I72" s="150">
        <v>0.34975000000000001</v>
      </c>
      <c r="J72" s="7">
        <v>0.35303000000000001</v>
      </c>
      <c r="K72" s="6">
        <v>0.73873</v>
      </c>
      <c r="L72" s="18">
        <v>0.74373999999999996</v>
      </c>
      <c r="M72" s="22">
        <v>0.74612999999999996</v>
      </c>
      <c r="P72" s="21" t="s">
        <v>28</v>
      </c>
      <c r="Q72" s="11">
        <v>0.35692000000000002</v>
      </c>
      <c r="R72" s="16">
        <v>0.37218000000000001</v>
      </c>
      <c r="S72" s="149">
        <v>0.33967000000000003</v>
      </c>
      <c r="T72" s="16">
        <v>0.29937000000000002</v>
      </c>
      <c r="U72" s="5">
        <v>0.30476999999999999</v>
      </c>
      <c r="V72" s="148">
        <v>0.29735</v>
      </c>
      <c r="W72" s="6">
        <v>0.43175999999999998</v>
      </c>
      <c r="X72" s="6">
        <v>0.43868000000000001</v>
      </c>
      <c r="Y72" s="146">
        <v>0.43226999999999999</v>
      </c>
      <c r="Z72" s="4" t="str">
        <f t="shared" si="0"/>
        <v/>
      </c>
    </row>
    <row r="73" spans="4:26" x14ac:dyDescent="0.25">
      <c r="D73" s="21" t="s">
        <v>39</v>
      </c>
      <c r="E73" s="11">
        <v>0.36303999999999997</v>
      </c>
      <c r="F73" s="16">
        <v>0.36765999999999999</v>
      </c>
      <c r="G73" s="149">
        <v>0.35176000000000002</v>
      </c>
      <c r="H73" s="5">
        <v>0.38963999999999999</v>
      </c>
      <c r="I73" s="150">
        <v>0.39172000000000001</v>
      </c>
      <c r="J73" s="150">
        <v>0.37290000000000001</v>
      </c>
      <c r="K73" s="6">
        <v>1.0090600000000001</v>
      </c>
      <c r="L73" s="18">
        <v>1.01874</v>
      </c>
      <c r="M73" s="146">
        <v>0.97114</v>
      </c>
      <c r="P73" s="21" t="s">
        <v>39</v>
      </c>
      <c r="Q73" s="11">
        <v>0.42044999999999999</v>
      </c>
      <c r="R73" s="148">
        <v>0.41839999999999999</v>
      </c>
      <c r="S73" s="5">
        <v>0.42485000000000001</v>
      </c>
      <c r="T73" s="16">
        <v>0.38902999999999999</v>
      </c>
      <c r="U73" s="149">
        <v>0.38678000000000001</v>
      </c>
      <c r="V73" s="148">
        <v>0.38657999999999998</v>
      </c>
      <c r="W73" s="6">
        <v>0.95467999999999997</v>
      </c>
      <c r="X73" s="159">
        <v>0.95013000000000003</v>
      </c>
      <c r="Y73" s="146">
        <v>0.95191999999999999</v>
      </c>
      <c r="Z73" s="4">
        <f t="shared" si="0"/>
        <v>1</v>
      </c>
    </row>
    <row r="74" spans="4:26" x14ac:dyDescent="0.25">
      <c r="D74" s="23" t="s">
        <v>40</v>
      </c>
      <c r="E74" s="12">
        <v>0.51524000000000003</v>
      </c>
      <c r="F74" s="17">
        <v>0.52785000000000004</v>
      </c>
      <c r="G74" s="13">
        <v>0.56238999999999995</v>
      </c>
      <c r="H74" s="13">
        <v>0.49909999999999999</v>
      </c>
      <c r="I74" s="7">
        <v>0.50919000000000003</v>
      </c>
      <c r="J74" s="7">
        <v>0.51583000000000001</v>
      </c>
      <c r="K74" s="14">
        <v>0.59904000000000002</v>
      </c>
      <c r="L74" s="45">
        <v>0.62444999999999995</v>
      </c>
      <c r="M74" s="24">
        <v>0.64653000000000005</v>
      </c>
      <c r="P74" s="23" t="s">
        <v>40</v>
      </c>
      <c r="Q74" s="12">
        <v>0.49509999999999998</v>
      </c>
      <c r="R74" s="151">
        <v>0.48094999999999999</v>
      </c>
      <c r="S74" s="157">
        <v>0.47219</v>
      </c>
      <c r="T74" s="17">
        <v>0.48859999999999998</v>
      </c>
      <c r="U74" s="157">
        <v>0.48058000000000001</v>
      </c>
      <c r="V74" s="151">
        <v>0.45766000000000001</v>
      </c>
      <c r="W74" s="14">
        <v>0.46304000000000001</v>
      </c>
      <c r="X74" s="160">
        <v>0.45863999999999999</v>
      </c>
      <c r="Y74" s="147">
        <v>0.44802999999999998</v>
      </c>
      <c r="Z74" s="4">
        <f t="shared" si="0"/>
        <v>1</v>
      </c>
    </row>
    <row r="75" spans="4:26" x14ac:dyDescent="0.25">
      <c r="E75" s="7">
        <f>AVERAGE(E60:E74)</f>
        <v>0.3777666666666667</v>
      </c>
      <c r="F75" s="7">
        <f t="shared" ref="F75:G75" si="1">AVERAGE(F60:F74)</f>
        <v>0.37035933333333332</v>
      </c>
      <c r="G75" s="7">
        <f t="shared" si="1"/>
        <v>0.36339666666666659</v>
      </c>
      <c r="H75" s="7">
        <v>0.35609933333333338</v>
      </c>
      <c r="I75" s="7">
        <v>0.35564866666666678</v>
      </c>
      <c r="J75" s="7">
        <v>0.34438000000000002</v>
      </c>
      <c r="K75" s="7">
        <f t="shared" ref="K75:M75" si="2">AVERAGE(K60:K74)</f>
        <v>0.77448866666666671</v>
      </c>
      <c r="L75" s="7">
        <f t="shared" si="2"/>
        <v>0.78082799999999986</v>
      </c>
      <c r="M75" s="7">
        <f t="shared" si="2"/>
        <v>0.75528000000000006</v>
      </c>
      <c r="Q75" s="7">
        <f>AVERAGE(Q60:Q74)</f>
        <v>0.3732826666666666</v>
      </c>
      <c r="R75" s="7">
        <f t="shared" ref="R75:Y75" si="3">AVERAGE(R60:R74)</f>
        <v>0.36700200000000005</v>
      </c>
      <c r="S75" s="7">
        <f t="shared" si="3"/>
        <v>0.35548533333333332</v>
      </c>
      <c r="T75" s="7">
        <f t="shared" si="3"/>
        <v>0.3329786666666667</v>
      </c>
      <c r="U75" s="7">
        <f t="shared" si="3"/>
        <v>0.33146466666666657</v>
      </c>
      <c r="V75" s="7">
        <f t="shared" si="3"/>
        <v>0.3163933333333333</v>
      </c>
      <c r="W75" s="7">
        <f t="shared" si="3"/>
        <v>0.7327499999999999</v>
      </c>
      <c r="X75" s="7">
        <f t="shared" si="3"/>
        <v>0.72950400000000004</v>
      </c>
      <c r="Y75" s="7">
        <f t="shared" si="3"/>
        <v>0.69946733333333322</v>
      </c>
    </row>
  </sheetData>
  <mergeCells count="18">
    <mergeCell ref="W24:Y24"/>
    <mergeCell ref="E24:G24"/>
    <mergeCell ref="H24:J24"/>
    <mergeCell ref="K24:M24"/>
    <mergeCell ref="Q24:S24"/>
    <mergeCell ref="T24:V24"/>
    <mergeCell ref="W58:Y58"/>
    <mergeCell ref="E41:G41"/>
    <mergeCell ref="H41:J41"/>
    <mergeCell ref="K41:M41"/>
    <mergeCell ref="Q41:S41"/>
    <mergeCell ref="T41:V41"/>
    <mergeCell ref="W41:Y41"/>
    <mergeCell ref="E58:G58"/>
    <mergeCell ref="H58:J58"/>
    <mergeCell ref="K58:M58"/>
    <mergeCell ref="Q58:S58"/>
    <mergeCell ref="T58:V58"/>
  </mergeCells>
  <conditionalFormatting sqref="R26">
    <cfRule type="cellIs" dxfId="4" priority="2" operator="lessThan">
      <formula>$Q$26</formula>
    </cfRule>
  </conditionalFormatting>
  <conditionalFormatting sqref="F26:F40">
    <cfRule type="expression" dxfId="3" priority="1" stopIfTrue="1">
      <formula>IF($Q26="",FALSE,IF($F26&lt;=$E26,TRUE,FALSE))</formula>
    </cfRule>
  </conditionalFormatting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D24:Y75"/>
  <sheetViews>
    <sheetView topLeftCell="A12" zoomScale="90" zoomScaleNormal="90" workbookViewId="0">
      <selection activeCell="N69" sqref="N69"/>
    </sheetView>
  </sheetViews>
  <sheetFormatPr defaultColWidth="9" defaultRowHeight="15" x14ac:dyDescent="0.25"/>
  <cols>
    <col min="1" max="3" width="9" style="4"/>
    <col min="4" max="4" width="22.375" style="4" customWidth="1"/>
    <col min="5" max="15" width="9" style="4"/>
    <col min="16" max="16" width="25.875" style="4" customWidth="1"/>
    <col min="17" max="17" width="13.75" style="4" customWidth="1"/>
    <col min="18" max="16384" width="9" style="4"/>
  </cols>
  <sheetData>
    <row r="24" spans="4:25" x14ac:dyDescent="0.25">
      <c r="D24" s="19" t="s">
        <v>42</v>
      </c>
      <c r="E24" s="174" t="s">
        <v>10</v>
      </c>
      <c r="F24" s="174"/>
      <c r="G24" s="174"/>
      <c r="H24" s="174" t="s">
        <v>11</v>
      </c>
      <c r="I24" s="174"/>
      <c r="J24" s="174"/>
      <c r="K24" s="174" t="s">
        <v>1</v>
      </c>
      <c r="L24" s="174"/>
      <c r="M24" s="174"/>
      <c r="P24" s="19" t="s">
        <v>33</v>
      </c>
      <c r="Q24" s="174" t="s">
        <v>10</v>
      </c>
      <c r="R24" s="174"/>
      <c r="S24" s="174"/>
      <c r="T24" s="174" t="s">
        <v>11</v>
      </c>
      <c r="U24" s="174"/>
      <c r="V24" s="174"/>
      <c r="W24" s="174" t="s">
        <v>1</v>
      </c>
      <c r="X24" s="174"/>
      <c r="Y24" s="174"/>
    </row>
    <row r="25" spans="4:25" x14ac:dyDescent="0.25">
      <c r="D25" s="20" t="s">
        <v>29</v>
      </c>
      <c r="E25" s="8" t="s">
        <v>5</v>
      </c>
      <c r="F25" s="15" t="s">
        <v>17</v>
      </c>
      <c r="G25" s="9" t="s">
        <v>8</v>
      </c>
      <c r="H25" s="15" t="s">
        <v>5</v>
      </c>
      <c r="I25" s="9" t="s">
        <v>17</v>
      </c>
      <c r="J25" s="15" t="s">
        <v>8</v>
      </c>
      <c r="K25" s="9" t="s">
        <v>5</v>
      </c>
      <c r="L25" s="15" t="s">
        <v>17</v>
      </c>
      <c r="M25" s="10" t="s">
        <v>8</v>
      </c>
      <c r="P25" s="20" t="s">
        <v>29</v>
      </c>
      <c r="Q25" s="8" t="s">
        <v>5</v>
      </c>
      <c r="R25" s="15" t="s">
        <v>17</v>
      </c>
      <c r="S25" s="9" t="s">
        <v>8</v>
      </c>
      <c r="T25" s="8" t="s">
        <v>5</v>
      </c>
      <c r="U25" s="15" t="s">
        <v>17</v>
      </c>
      <c r="V25" s="9" t="s">
        <v>8</v>
      </c>
      <c r="W25" s="8" t="s">
        <v>5</v>
      </c>
      <c r="X25" s="15" t="s">
        <v>17</v>
      </c>
      <c r="Y25" s="15" t="s">
        <v>8</v>
      </c>
    </row>
    <row r="26" spans="4:25" x14ac:dyDescent="0.25">
      <c r="D26" s="21" t="s">
        <v>20</v>
      </c>
      <c r="E26" s="11">
        <v>0.26339000000000001</v>
      </c>
      <c r="F26" s="161">
        <v>0.25896000000000002</v>
      </c>
      <c r="G26" s="16">
        <v>0.26469999999999999</v>
      </c>
      <c r="H26" s="16">
        <v>0.21415000000000001</v>
      </c>
      <c r="I26" s="149">
        <v>0.20952999999999999</v>
      </c>
      <c r="J26" s="148">
        <v>0.21317</v>
      </c>
      <c r="K26" s="6">
        <v>0.62587000000000004</v>
      </c>
      <c r="L26" s="155">
        <v>0.62158000000000002</v>
      </c>
      <c r="M26" s="146">
        <v>0.62085999999999997</v>
      </c>
      <c r="P26" s="21" t="s">
        <v>20</v>
      </c>
      <c r="Q26" s="11">
        <v>0.21775</v>
      </c>
      <c r="R26" s="16">
        <v>0.21851000000000001</v>
      </c>
      <c r="S26" s="149">
        <v>0.21198</v>
      </c>
      <c r="T26" s="16">
        <v>0.21595</v>
      </c>
      <c r="U26" s="16">
        <v>0.21793999999999999</v>
      </c>
      <c r="V26" s="158">
        <v>0.21199999999999999</v>
      </c>
      <c r="W26" s="6">
        <v>0.75165000000000004</v>
      </c>
      <c r="X26" s="18">
        <v>0.75829000000000002</v>
      </c>
      <c r="Y26" s="146">
        <v>0.73880000000000001</v>
      </c>
    </row>
    <row r="27" spans="4:25" x14ac:dyDescent="0.25">
      <c r="D27" s="21" t="s">
        <v>21</v>
      </c>
      <c r="E27" s="11">
        <v>0.33387</v>
      </c>
      <c r="F27" s="11">
        <v>0.34028999999999998</v>
      </c>
      <c r="G27" s="16">
        <v>0.34756999999999999</v>
      </c>
      <c r="H27" s="16">
        <v>0.39409</v>
      </c>
      <c r="I27" s="5">
        <v>0.39672000000000002</v>
      </c>
      <c r="J27" s="16">
        <v>0.39745000000000003</v>
      </c>
      <c r="K27" s="6">
        <v>2.3969900000000002</v>
      </c>
      <c r="L27" s="18">
        <v>2.3975300000000002</v>
      </c>
      <c r="M27" s="22">
        <v>2.4092799999999999</v>
      </c>
      <c r="P27" s="21" t="s">
        <v>21</v>
      </c>
      <c r="Q27" s="11">
        <v>0.27681</v>
      </c>
      <c r="R27" s="16">
        <v>0.28359000000000001</v>
      </c>
      <c r="S27" s="5">
        <v>0.28489999999999999</v>
      </c>
      <c r="T27" s="16">
        <v>0.26918999999999998</v>
      </c>
      <c r="U27" s="16">
        <v>0.27432000000000001</v>
      </c>
      <c r="V27" s="148">
        <v>0.25931999999999999</v>
      </c>
      <c r="W27" s="6">
        <v>0.46660000000000001</v>
      </c>
      <c r="X27" s="18">
        <v>0.48755999999999999</v>
      </c>
      <c r="Y27" s="22">
        <v>0.48071999999999998</v>
      </c>
    </row>
    <row r="28" spans="4:25" x14ac:dyDescent="0.25">
      <c r="D28" s="21" t="s">
        <v>22</v>
      </c>
      <c r="E28" s="11">
        <v>0.27127000000000001</v>
      </c>
      <c r="F28" s="161">
        <v>0.26806999999999997</v>
      </c>
      <c r="G28" s="16">
        <v>0.2757</v>
      </c>
      <c r="H28" s="16">
        <v>0.31244</v>
      </c>
      <c r="I28" s="149">
        <v>0.31135000000000002</v>
      </c>
      <c r="J28" s="16">
        <v>0.31731999999999999</v>
      </c>
      <c r="K28" s="6">
        <v>0.85368999999999995</v>
      </c>
      <c r="L28" s="18">
        <v>0.85792999999999997</v>
      </c>
      <c r="M28" s="22">
        <v>0.87794000000000005</v>
      </c>
      <c r="P28" s="21" t="s">
        <v>22</v>
      </c>
      <c r="Q28" s="11">
        <v>0.30064999999999997</v>
      </c>
      <c r="R28" s="16">
        <v>0.30721999999999999</v>
      </c>
      <c r="S28" s="149">
        <v>0.29531000000000002</v>
      </c>
      <c r="T28" s="16">
        <v>0.29871999999999999</v>
      </c>
      <c r="U28" s="16">
        <v>0.30908000000000002</v>
      </c>
      <c r="V28" s="148">
        <v>0.29455999999999999</v>
      </c>
      <c r="W28" s="6">
        <v>0.5988</v>
      </c>
      <c r="X28" s="18">
        <v>0.61036999999999997</v>
      </c>
      <c r="Y28" s="146">
        <v>0.58514999999999995</v>
      </c>
    </row>
    <row r="29" spans="4:25" x14ac:dyDescent="0.25">
      <c r="D29" s="21" t="s">
        <v>23</v>
      </c>
      <c r="E29" s="11">
        <v>0.28115000000000001</v>
      </c>
      <c r="F29" s="161">
        <v>0.25871</v>
      </c>
      <c r="G29" s="148">
        <v>0.27123000000000003</v>
      </c>
      <c r="H29" s="16">
        <v>0.31052999999999997</v>
      </c>
      <c r="I29" s="149">
        <v>0.28625</v>
      </c>
      <c r="J29" s="148">
        <v>0.30159000000000002</v>
      </c>
      <c r="K29" s="6">
        <v>0.46634999999999999</v>
      </c>
      <c r="L29" s="155">
        <v>0.42369000000000001</v>
      </c>
      <c r="M29" s="146">
        <v>0.43047999999999997</v>
      </c>
      <c r="P29" s="21" t="s">
        <v>23</v>
      </c>
      <c r="Q29" s="11">
        <v>0.26434000000000002</v>
      </c>
      <c r="R29" s="148">
        <v>0.26011000000000001</v>
      </c>
      <c r="S29" s="149">
        <v>0.25575999999999999</v>
      </c>
      <c r="T29" s="16">
        <v>0.28638000000000002</v>
      </c>
      <c r="U29" s="148">
        <v>0.28239999999999998</v>
      </c>
      <c r="V29" s="148">
        <v>0.27374999999999999</v>
      </c>
      <c r="W29" s="6">
        <v>1.01478</v>
      </c>
      <c r="X29" s="155">
        <v>1.00939</v>
      </c>
      <c r="Y29" s="146">
        <v>1.00631</v>
      </c>
    </row>
    <row r="30" spans="4:25" x14ac:dyDescent="0.25">
      <c r="D30" s="21" t="s">
        <v>37</v>
      </c>
      <c r="E30" s="11">
        <v>0.24535999999999999</v>
      </c>
      <c r="F30" s="11">
        <v>0.24553</v>
      </c>
      <c r="G30" s="148">
        <v>0.24423</v>
      </c>
      <c r="H30" s="16">
        <v>0.25847999999999999</v>
      </c>
      <c r="I30" s="149">
        <v>0.25463000000000002</v>
      </c>
      <c r="J30" s="148">
        <v>0.25297999999999998</v>
      </c>
      <c r="K30" s="6">
        <v>0.92971000000000004</v>
      </c>
      <c r="L30" s="155">
        <v>0.90900000000000003</v>
      </c>
      <c r="M30" s="22">
        <v>0.93362999999999996</v>
      </c>
      <c r="P30" s="21" t="s">
        <v>37</v>
      </c>
      <c r="Q30" s="11">
        <v>0.223</v>
      </c>
      <c r="R30" s="148">
        <v>0.21965999999999999</v>
      </c>
      <c r="S30" s="149">
        <v>0.22017999999999999</v>
      </c>
      <c r="T30" s="16">
        <v>0.23011000000000001</v>
      </c>
      <c r="U30" s="148">
        <v>0.22675000000000001</v>
      </c>
      <c r="V30" s="148">
        <v>0.21709000000000001</v>
      </c>
      <c r="W30" s="6">
        <v>0.88834000000000002</v>
      </c>
      <c r="X30" s="155">
        <v>0.87507999999999997</v>
      </c>
      <c r="Y30" s="146">
        <v>0.83891000000000004</v>
      </c>
    </row>
    <row r="31" spans="4:25" x14ac:dyDescent="0.25">
      <c r="D31" s="21" t="s">
        <v>36</v>
      </c>
      <c r="E31" s="11">
        <v>0.34649999999999997</v>
      </c>
      <c r="F31" s="11">
        <v>0.379</v>
      </c>
      <c r="G31" s="148">
        <v>0.32586999999999999</v>
      </c>
      <c r="H31" s="16">
        <v>0.36158000000000001</v>
      </c>
      <c r="I31" s="5">
        <v>0.39628999999999998</v>
      </c>
      <c r="J31" s="148">
        <v>0.32244</v>
      </c>
      <c r="K31" s="6">
        <v>0.33052999999999999</v>
      </c>
      <c r="L31" s="18">
        <v>0.35681000000000002</v>
      </c>
      <c r="M31" s="146">
        <v>0.29498999999999997</v>
      </c>
      <c r="P31" s="21" t="s">
        <v>36</v>
      </c>
      <c r="Q31" s="11">
        <v>0.44955000000000001</v>
      </c>
      <c r="R31" s="16">
        <v>0.45006000000000002</v>
      </c>
      <c r="S31" s="5">
        <v>0.47797000000000001</v>
      </c>
      <c r="T31" s="16">
        <v>0.44514999999999999</v>
      </c>
      <c r="U31" s="16">
        <v>0.45804</v>
      </c>
      <c r="V31" s="148">
        <v>0.44001000000000001</v>
      </c>
      <c r="W31" s="6">
        <v>0.76429999999999998</v>
      </c>
      <c r="X31" s="18">
        <v>0.80147000000000002</v>
      </c>
      <c r="Y31" s="146">
        <v>0.76166</v>
      </c>
    </row>
    <row r="32" spans="4:25" x14ac:dyDescent="0.25">
      <c r="D32" s="21" t="s">
        <v>38</v>
      </c>
      <c r="E32" s="11">
        <v>0.84663999999999995</v>
      </c>
      <c r="F32" s="161">
        <v>0.79108000000000001</v>
      </c>
      <c r="G32" s="148">
        <v>0.74678</v>
      </c>
      <c r="H32" s="16">
        <v>0.49184</v>
      </c>
      <c r="I32" s="149">
        <v>0.48298999999999997</v>
      </c>
      <c r="J32" s="148">
        <v>0.45995000000000003</v>
      </c>
      <c r="K32" s="6">
        <v>0.31648999999999999</v>
      </c>
      <c r="L32" s="18">
        <v>0.33740999999999999</v>
      </c>
      <c r="M32" s="146">
        <v>0.26643</v>
      </c>
      <c r="P32" s="21" t="s">
        <v>38</v>
      </c>
      <c r="Q32" s="11">
        <v>0.46855000000000002</v>
      </c>
      <c r="R32" s="148">
        <v>0.46138000000000001</v>
      </c>
      <c r="S32" s="149">
        <v>0.39828999999999998</v>
      </c>
      <c r="T32" s="16">
        <v>0.39928999999999998</v>
      </c>
      <c r="U32" s="148">
        <v>0.39844000000000002</v>
      </c>
      <c r="V32" s="148">
        <v>0.37364000000000003</v>
      </c>
      <c r="W32" s="6">
        <v>0.56672</v>
      </c>
      <c r="X32" s="18">
        <v>0.58616000000000001</v>
      </c>
      <c r="Y32" s="146">
        <v>0.56516</v>
      </c>
    </row>
    <row r="33" spans="4:25" x14ac:dyDescent="0.25">
      <c r="D33" s="21" t="s">
        <v>24</v>
      </c>
      <c r="E33" s="11">
        <v>1.08392</v>
      </c>
      <c r="F33" s="161">
        <v>1.0314300000000001</v>
      </c>
      <c r="G33" s="16">
        <v>1.10131</v>
      </c>
      <c r="H33" s="16">
        <v>0.29457</v>
      </c>
      <c r="I33" s="149">
        <v>0.28793999999999997</v>
      </c>
      <c r="J33" s="16">
        <v>0.30804999999999999</v>
      </c>
      <c r="K33" s="6">
        <v>0.33277000000000001</v>
      </c>
      <c r="L33" s="155">
        <v>0.29748999999999998</v>
      </c>
      <c r="M33" s="22">
        <v>0.34739999999999999</v>
      </c>
      <c r="P33" s="21" t="s">
        <v>24</v>
      </c>
      <c r="Q33" s="11">
        <v>0.20598</v>
      </c>
      <c r="R33" s="148">
        <v>0.19977</v>
      </c>
      <c r="S33" s="149">
        <v>0.20274</v>
      </c>
      <c r="T33" s="16">
        <v>0.20973</v>
      </c>
      <c r="U33" s="148">
        <v>0.20394000000000001</v>
      </c>
      <c r="V33" s="148">
        <v>0.20493</v>
      </c>
      <c r="W33" s="6">
        <v>0.49879000000000001</v>
      </c>
      <c r="X33" s="155">
        <v>0.49006</v>
      </c>
      <c r="Y33" s="146">
        <v>0.48760999999999999</v>
      </c>
    </row>
    <row r="34" spans="4:25" x14ac:dyDescent="0.25">
      <c r="D34" s="21" t="s">
        <v>25</v>
      </c>
      <c r="E34" s="11">
        <v>0.17193</v>
      </c>
      <c r="F34" s="161">
        <v>0.14968999999999999</v>
      </c>
      <c r="G34" s="148">
        <v>0.14846000000000001</v>
      </c>
      <c r="H34" s="16">
        <v>0.15075</v>
      </c>
      <c r="I34" s="149">
        <v>0.13349</v>
      </c>
      <c r="J34" s="148">
        <v>0.13353000000000001</v>
      </c>
      <c r="K34" s="6">
        <v>0.43694</v>
      </c>
      <c r="L34" s="155">
        <v>0.39731</v>
      </c>
      <c r="M34" s="146">
        <v>0.40416999999999997</v>
      </c>
      <c r="P34" s="21" t="s">
        <v>25</v>
      </c>
      <c r="Q34" s="11">
        <v>0.23988000000000001</v>
      </c>
      <c r="R34" s="16">
        <v>0.24243999999999999</v>
      </c>
      <c r="S34" s="149">
        <v>0.23557</v>
      </c>
      <c r="T34" s="16">
        <v>0.21528</v>
      </c>
      <c r="U34" s="16">
        <v>0.21837999999999999</v>
      </c>
      <c r="V34" s="16">
        <v>0.21765999999999999</v>
      </c>
      <c r="W34" s="6">
        <v>0.80600000000000005</v>
      </c>
      <c r="X34" s="18">
        <v>0.82509999999999994</v>
      </c>
      <c r="Y34" s="22">
        <v>0.82250999999999996</v>
      </c>
    </row>
    <row r="35" spans="4:25" x14ac:dyDescent="0.25">
      <c r="D35" s="21" t="s">
        <v>45</v>
      </c>
      <c r="E35" s="11">
        <v>0.27711000000000002</v>
      </c>
      <c r="F35" s="161">
        <v>0.26878000000000002</v>
      </c>
      <c r="G35" s="16">
        <v>0.27825</v>
      </c>
      <c r="H35" s="16">
        <v>0.29116999999999998</v>
      </c>
      <c r="I35" s="149">
        <v>0.28538000000000002</v>
      </c>
      <c r="J35" s="16">
        <v>0.29701</v>
      </c>
      <c r="K35" s="6">
        <v>0.90317999999999998</v>
      </c>
      <c r="L35" s="155">
        <v>0.86858999999999997</v>
      </c>
      <c r="M35" s="146">
        <v>0.89531000000000005</v>
      </c>
      <c r="P35" s="21" t="s">
        <v>45</v>
      </c>
      <c r="Q35" s="11">
        <v>0.30204999999999999</v>
      </c>
      <c r="R35" s="16">
        <v>0.30568000000000001</v>
      </c>
      <c r="S35" s="149">
        <v>0.29143999999999998</v>
      </c>
      <c r="T35" s="16">
        <v>0.26322000000000001</v>
      </c>
      <c r="U35" s="16">
        <v>0.26585999999999999</v>
      </c>
      <c r="V35" s="16">
        <v>0.26518999999999998</v>
      </c>
      <c r="W35" s="6">
        <v>0.55379</v>
      </c>
      <c r="X35" s="18">
        <v>0.56257999999999997</v>
      </c>
      <c r="Y35" s="146">
        <v>0.54923</v>
      </c>
    </row>
    <row r="36" spans="4:25" x14ac:dyDescent="0.25">
      <c r="D36" s="21" t="s">
        <v>26</v>
      </c>
      <c r="E36" s="11">
        <v>0.15311</v>
      </c>
      <c r="F36" s="161">
        <v>0.13547000000000001</v>
      </c>
      <c r="G36" s="16">
        <v>0.15343000000000001</v>
      </c>
      <c r="H36" s="16">
        <v>0.14072000000000001</v>
      </c>
      <c r="I36" s="149">
        <v>0.12673999999999999</v>
      </c>
      <c r="J36" s="16">
        <v>0.14391999999999999</v>
      </c>
      <c r="K36" s="6">
        <v>0.33981</v>
      </c>
      <c r="L36" s="155">
        <v>0.30987999999999999</v>
      </c>
      <c r="M36" s="22">
        <v>0.35885</v>
      </c>
      <c r="P36" s="21" t="s">
        <v>26</v>
      </c>
      <c r="Q36" s="11">
        <v>0.26367000000000002</v>
      </c>
      <c r="R36" s="16">
        <v>0.26405000000000001</v>
      </c>
      <c r="S36" s="149">
        <v>0.25596999999999998</v>
      </c>
      <c r="T36" s="16">
        <v>0.22756999999999999</v>
      </c>
      <c r="U36" s="16">
        <v>0.23074</v>
      </c>
      <c r="V36" s="16">
        <v>0.23122999999999999</v>
      </c>
      <c r="W36" s="6">
        <v>0.59177999999999997</v>
      </c>
      <c r="X36" s="18">
        <v>0.60365000000000002</v>
      </c>
      <c r="Y36" s="146">
        <v>0.58167999999999997</v>
      </c>
    </row>
    <row r="37" spans="4:25" x14ac:dyDescent="0.25">
      <c r="D37" s="21" t="s">
        <v>27</v>
      </c>
      <c r="E37" s="11">
        <v>0.29418</v>
      </c>
      <c r="F37" s="161">
        <v>0.29126000000000002</v>
      </c>
      <c r="G37" s="148">
        <v>0.26068000000000002</v>
      </c>
      <c r="H37" s="16">
        <v>0.28665000000000002</v>
      </c>
      <c r="I37" s="149">
        <v>0.27939000000000003</v>
      </c>
      <c r="J37" s="148">
        <v>0.27282000000000001</v>
      </c>
      <c r="K37" s="6">
        <v>0.43373</v>
      </c>
      <c r="L37" s="155">
        <v>0.39854000000000001</v>
      </c>
      <c r="M37" s="146">
        <v>0.43348999999999999</v>
      </c>
      <c r="P37" s="21" t="s">
        <v>27</v>
      </c>
      <c r="Q37" s="11">
        <v>0.28412999999999999</v>
      </c>
      <c r="R37" s="148">
        <v>0.28377000000000002</v>
      </c>
      <c r="S37" s="149">
        <v>0.25057000000000001</v>
      </c>
      <c r="T37" s="16">
        <v>0.24865000000000001</v>
      </c>
      <c r="U37" s="16">
        <v>0.25147999999999998</v>
      </c>
      <c r="V37" s="148">
        <v>0.23851</v>
      </c>
      <c r="W37" s="6">
        <v>0.58079000000000003</v>
      </c>
      <c r="X37" s="18">
        <v>0.65095000000000003</v>
      </c>
      <c r="Y37" s="146">
        <v>0.56581999999999999</v>
      </c>
    </row>
    <row r="38" spans="4:25" x14ac:dyDescent="0.25">
      <c r="D38" s="21" t="s">
        <v>28</v>
      </c>
      <c r="E38" s="11">
        <v>0.32179000000000002</v>
      </c>
      <c r="F38" s="161">
        <v>0.31175000000000003</v>
      </c>
      <c r="G38" s="148">
        <v>0.31495000000000001</v>
      </c>
      <c r="H38" s="16">
        <v>0.41326000000000002</v>
      </c>
      <c r="I38" s="149">
        <v>0.39663999999999999</v>
      </c>
      <c r="J38" s="148">
        <v>0.41020000000000001</v>
      </c>
      <c r="K38" s="6">
        <v>1.48821</v>
      </c>
      <c r="L38" s="155">
        <v>1.4331400000000001</v>
      </c>
      <c r="M38" s="146">
        <v>1.4564600000000001</v>
      </c>
      <c r="P38" s="21" t="s">
        <v>28</v>
      </c>
      <c r="Q38" s="11">
        <v>0.27572000000000002</v>
      </c>
      <c r="R38" s="16">
        <v>0.28037000000000001</v>
      </c>
      <c r="S38" s="149">
        <v>0.26561000000000001</v>
      </c>
      <c r="T38" s="16">
        <v>0.25418000000000002</v>
      </c>
      <c r="U38" s="16">
        <v>0.25842999999999999</v>
      </c>
      <c r="V38" s="148">
        <v>0.25375999999999999</v>
      </c>
      <c r="W38" s="6">
        <v>0.33507999999999999</v>
      </c>
      <c r="X38" s="18">
        <v>0.33621000000000001</v>
      </c>
      <c r="Y38" s="146">
        <v>0.33467000000000002</v>
      </c>
    </row>
    <row r="39" spans="4:25" x14ac:dyDescent="0.25">
      <c r="D39" s="21" t="s">
        <v>39</v>
      </c>
      <c r="E39" s="11">
        <v>0.39102999999999999</v>
      </c>
      <c r="F39" s="11">
        <v>0.39266000000000001</v>
      </c>
      <c r="G39" s="148">
        <v>0.35998000000000002</v>
      </c>
      <c r="H39" s="16">
        <v>0.50509999999999999</v>
      </c>
      <c r="I39" s="149">
        <v>0.50394000000000005</v>
      </c>
      <c r="J39" s="148">
        <v>0.47055000000000002</v>
      </c>
      <c r="K39" s="6">
        <v>1.35562</v>
      </c>
      <c r="L39" s="18">
        <v>1.3575299999999999</v>
      </c>
      <c r="M39" s="146">
        <v>1.27274</v>
      </c>
      <c r="P39" s="21" t="s">
        <v>39</v>
      </c>
      <c r="Q39" s="11">
        <v>0.42385</v>
      </c>
      <c r="R39" s="148">
        <v>0.41942000000000002</v>
      </c>
      <c r="S39" s="149">
        <v>0.41980000000000001</v>
      </c>
      <c r="T39" s="16">
        <v>0.38808999999999999</v>
      </c>
      <c r="U39" s="148">
        <v>0.38572000000000001</v>
      </c>
      <c r="V39" s="148">
        <v>0.38444</v>
      </c>
      <c r="W39" s="6">
        <v>0.97187000000000001</v>
      </c>
      <c r="X39" s="155">
        <v>0.96531999999999996</v>
      </c>
      <c r="Y39" s="146">
        <v>0.96309</v>
      </c>
    </row>
    <row r="40" spans="4:25" x14ac:dyDescent="0.25">
      <c r="D40" s="23" t="s">
        <v>40</v>
      </c>
      <c r="E40" s="12">
        <v>0.46836</v>
      </c>
      <c r="F40" s="162">
        <v>0.43218000000000001</v>
      </c>
      <c r="G40" s="151">
        <v>0.46634999999999999</v>
      </c>
      <c r="H40" s="17">
        <v>0.62002999999999997</v>
      </c>
      <c r="I40" s="157">
        <v>0.55889999999999995</v>
      </c>
      <c r="J40" s="151">
        <v>0.61256999999999995</v>
      </c>
      <c r="K40" s="14">
        <v>0.8125</v>
      </c>
      <c r="L40" s="156">
        <v>0.76024999999999998</v>
      </c>
      <c r="M40" s="147">
        <v>0.7954</v>
      </c>
      <c r="P40" s="23" t="s">
        <v>40</v>
      </c>
      <c r="Q40" s="12">
        <v>0.46311000000000002</v>
      </c>
      <c r="R40" s="17">
        <v>0.47175</v>
      </c>
      <c r="S40" s="13">
        <v>0.47260000000000002</v>
      </c>
      <c r="T40" s="17">
        <v>0.46483999999999998</v>
      </c>
      <c r="U40" s="17">
        <v>0.46527000000000002</v>
      </c>
      <c r="V40" s="17">
        <v>0.46997</v>
      </c>
      <c r="W40" s="14">
        <v>0.46722000000000002</v>
      </c>
      <c r="X40" s="156">
        <v>0.46588000000000002</v>
      </c>
      <c r="Y40" s="147">
        <v>0.46614</v>
      </c>
    </row>
    <row r="41" spans="4:25" x14ac:dyDescent="0.25">
      <c r="D41" s="19" t="s">
        <v>41</v>
      </c>
      <c r="E41" s="174" t="s">
        <v>10</v>
      </c>
      <c r="F41" s="174"/>
      <c r="G41" s="174"/>
      <c r="H41" s="174" t="s">
        <v>11</v>
      </c>
      <c r="I41" s="174"/>
      <c r="J41" s="174"/>
      <c r="K41" s="174" t="s">
        <v>1</v>
      </c>
      <c r="L41" s="174"/>
      <c r="M41" s="174"/>
      <c r="P41" s="19" t="s">
        <v>34</v>
      </c>
      <c r="Q41" s="174" t="s">
        <v>10</v>
      </c>
      <c r="R41" s="174"/>
      <c r="S41" s="174"/>
      <c r="T41" s="174" t="s">
        <v>11</v>
      </c>
      <c r="U41" s="174"/>
      <c r="V41" s="174"/>
      <c r="W41" s="174" t="s">
        <v>1</v>
      </c>
      <c r="X41" s="174"/>
      <c r="Y41" s="174"/>
    </row>
    <row r="42" spans="4:25" x14ac:dyDescent="0.25">
      <c r="D42" s="20" t="s">
        <v>29</v>
      </c>
      <c r="E42" s="8" t="s">
        <v>5</v>
      </c>
      <c r="F42" s="15" t="s">
        <v>17</v>
      </c>
      <c r="G42" s="9" t="s">
        <v>8</v>
      </c>
      <c r="H42" s="15" t="s">
        <v>5</v>
      </c>
      <c r="I42" s="9" t="s">
        <v>17</v>
      </c>
      <c r="J42" s="15" t="s">
        <v>8</v>
      </c>
      <c r="K42" s="9" t="s">
        <v>5</v>
      </c>
      <c r="L42" s="15" t="s">
        <v>17</v>
      </c>
      <c r="M42" s="10" t="s">
        <v>8</v>
      </c>
      <c r="P42" s="20" t="s">
        <v>29</v>
      </c>
      <c r="Q42" s="8" t="s">
        <v>5</v>
      </c>
      <c r="R42" s="15" t="s">
        <v>17</v>
      </c>
      <c r="S42" s="9" t="s">
        <v>8</v>
      </c>
      <c r="T42" s="8" t="s">
        <v>5</v>
      </c>
      <c r="U42" s="15" t="s">
        <v>17</v>
      </c>
      <c r="V42" s="9" t="s">
        <v>8</v>
      </c>
      <c r="W42" s="8" t="s">
        <v>5</v>
      </c>
      <c r="X42" s="15" t="s">
        <v>17</v>
      </c>
      <c r="Y42" s="15" t="s">
        <v>8</v>
      </c>
    </row>
    <row r="43" spans="4:25" x14ac:dyDescent="0.25">
      <c r="D43" s="21" t="s">
        <v>20</v>
      </c>
      <c r="E43" s="11">
        <v>0.26962000000000003</v>
      </c>
      <c r="F43" s="11">
        <v>0.27091999999999999</v>
      </c>
      <c r="G43" s="16">
        <v>0.27462999999999999</v>
      </c>
      <c r="H43" s="16">
        <v>0.23561000000000001</v>
      </c>
      <c r="I43" s="5">
        <v>0.23683000000000001</v>
      </c>
      <c r="J43" s="16">
        <v>0.23885999999999999</v>
      </c>
      <c r="K43" s="6">
        <v>0.69786999999999999</v>
      </c>
      <c r="L43" s="18">
        <v>0.70379000000000003</v>
      </c>
      <c r="M43" s="22">
        <v>0.70004999999999995</v>
      </c>
      <c r="P43" s="21" t="s">
        <v>20</v>
      </c>
      <c r="Q43" s="11">
        <v>0.21859999999999999</v>
      </c>
      <c r="R43" s="148">
        <v>0.21582000000000001</v>
      </c>
      <c r="S43" s="149">
        <v>0.21239</v>
      </c>
      <c r="T43" s="16">
        <v>0.21915000000000001</v>
      </c>
      <c r="U43" s="148">
        <v>0.21767</v>
      </c>
      <c r="V43" s="148">
        <v>0.21439</v>
      </c>
      <c r="W43" s="6">
        <v>0.77505000000000002</v>
      </c>
      <c r="X43" s="155">
        <v>0.77161999999999997</v>
      </c>
      <c r="Y43" s="146">
        <v>0.76210999999999995</v>
      </c>
    </row>
    <row r="44" spans="4:25" x14ac:dyDescent="0.25">
      <c r="D44" s="21" t="s">
        <v>21</v>
      </c>
      <c r="E44" s="11">
        <v>0.60158999999999996</v>
      </c>
      <c r="F44" s="161">
        <v>0.59282000000000001</v>
      </c>
      <c r="G44" s="16">
        <v>0.60455000000000003</v>
      </c>
      <c r="H44" s="16">
        <v>0.51590000000000003</v>
      </c>
      <c r="I44" s="5">
        <v>0.52249000000000001</v>
      </c>
      <c r="J44" s="148">
        <v>0.50471999999999995</v>
      </c>
      <c r="K44" s="6">
        <v>1.2253700000000001</v>
      </c>
      <c r="L44" s="18">
        <v>1.22664</v>
      </c>
      <c r="M44" s="146">
        <v>1.2236400000000001</v>
      </c>
      <c r="P44" s="21" t="s">
        <v>21</v>
      </c>
      <c r="Q44" s="11">
        <v>0.26101999999999997</v>
      </c>
      <c r="R44" s="16">
        <v>0.26508999999999999</v>
      </c>
      <c r="S44" s="5">
        <v>0.27141999999999999</v>
      </c>
      <c r="T44" s="16">
        <v>0.26924999999999999</v>
      </c>
      <c r="U44" s="16">
        <v>0.27093</v>
      </c>
      <c r="V44" s="148">
        <v>0.26157000000000002</v>
      </c>
      <c r="W44" s="6">
        <v>0.49456</v>
      </c>
      <c r="X44" s="18">
        <v>0.50349999999999995</v>
      </c>
      <c r="Y44" s="22">
        <v>0.51344999999999996</v>
      </c>
    </row>
    <row r="45" spans="4:25" x14ac:dyDescent="0.25">
      <c r="D45" s="21" t="s">
        <v>22</v>
      </c>
      <c r="E45" s="11">
        <v>0.29449999999999998</v>
      </c>
      <c r="F45" s="11">
        <v>0.29491000000000001</v>
      </c>
      <c r="G45" s="16">
        <v>0.29710999999999999</v>
      </c>
      <c r="H45" s="16">
        <v>0.31359999999999999</v>
      </c>
      <c r="I45" s="5">
        <v>0.31884000000000001</v>
      </c>
      <c r="J45" s="16">
        <v>0.31608999999999998</v>
      </c>
      <c r="K45" s="6">
        <v>0.61553999999999998</v>
      </c>
      <c r="L45" s="155">
        <v>0.61538999999999999</v>
      </c>
      <c r="M45" s="22">
        <v>0.61724000000000001</v>
      </c>
      <c r="P45" s="21" t="s">
        <v>22</v>
      </c>
      <c r="Q45" s="11">
        <v>0.30220999999999998</v>
      </c>
      <c r="R45" s="16">
        <v>0.30829000000000001</v>
      </c>
      <c r="S45" s="149">
        <v>0.29880000000000001</v>
      </c>
      <c r="T45" s="16">
        <v>0.30436000000000002</v>
      </c>
      <c r="U45" s="16">
        <v>0.31490000000000001</v>
      </c>
      <c r="V45" s="148">
        <v>0.30155999999999999</v>
      </c>
      <c r="W45" s="6">
        <v>0.62751999999999997</v>
      </c>
      <c r="X45" s="18">
        <v>0.63470000000000004</v>
      </c>
      <c r="Y45" s="146">
        <v>0.61445000000000005</v>
      </c>
    </row>
    <row r="46" spans="4:25" x14ac:dyDescent="0.25">
      <c r="D46" s="21" t="s">
        <v>23</v>
      </c>
      <c r="E46" s="11">
        <v>0.23569000000000001</v>
      </c>
      <c r="F46" s="161">
        <v>0.21884999999999999</v>
      </c>
      <c r="G46" s="148">
        <v>0.2273</v>
      </c>
      <c r="H46" s="16">
        <v>0.25807999999999998</v>
      </c>
      <c r="I46" s="149">
        <v>0.24049000000000001</v>
      </c>
      <c r="J46" s="148">
        <v>0.24581</v>
      </c>
      <c r="K46" s="6">
        <v>0.43723000000000001</v>
      </c>
      <c r="L46" s="155">
        <v>0.41339999999999999</v>
      </c>
      <c r="M46" s="146">
        <v>0.43404999999999999</v>
      </c>
      <c r="P46" s="21" t="s">
        <v>23</v>
      </c>
      <c r="Q46" s="11">
        <v>0.26928000000000002</v>
      </c>
      <c r="R46" s="148">
        <v>0.26563999999999999</v>
      </c>
      <c r="S46" s="149">
        <v>0.26357999999999998</v>
      </c>
      <c r="T46" s="16">
        <v>0.28682000000000002</v>
      </c>
      <c r="U46" s="148">
        <v>0.28297</v>
      </c>
      <c r="V46" s="148">
        <v>0.27692</v>
      </c>
      <c r="W46" s="6">
        <v>0.62894000000000005</v>
      </c>
      <c r="X46" s="155">
        <v>0.62827</v>
      </c>
      <c r="Y46" s="146">
        <v>0.62395999999999996</v>
      </c>
    </row>
    <row r="47" spans="4:25" x14ac:dyDescent="0.25">
      <c r="D47" s="21" t="s">
        <v>37</v>
      </c>
      <c r="E47" s="11">
        <v>0.30990000000000001</v>
      </c>
      <c r="F47" s="11">
        <v>0.31209999999999999</v>
      </c>
      <c r="G47" s="16">
        <v>0.31425999999999998</v>
      </c>
      <c r="H47" s="16">
        <v>0.28178999999999998</v>
      </c>
      <c r="I47" s="149">
        <v>0.27973999999999999</v>
      </c>
      <c r="J47" s="148">
        <v>0.28172999999999998</v>
      </c>
      <c r="K47" s="6">
        <v>0.88143000000000005</v>
      </c>
      <c r="L47" s="155">
        <v>0.88083</v>
      </c>
      <c r="M47" s="22">
        <v>0.89683999999999997</v>
      </c>
      <c r="P47" s="21" t="s">
        <v>37</v>
      </c>
      <c r="Q47" s="11">
        <v>0.23463000000000001</v>
      </c>
      <c r="R47" s="148">
        <v>0.22972999999999999</v>
      </c>
      <c r="S47" s="149">
        <v>0.22861999999999999</v>
      </c>
      <c r="T47" s="16">
        <v>0.24310999999999999</v>
      </c>
      <c r="U47" s="148">
        <v>0.23746</v>
      </c>
      <c r="V47" s="148">
        <v>0.22720000000000001</v>
      </c>
      <c r="W47" s="6">
        <v>0.92728999999999995</v>
      </c>
      <c r="X47" s="155">
        <v>0.90595999999999999</v>
      </c>
      <c r="Y47" s="146">
        <v>0.86863000000000001</v>
      </c>
    </row>
    <row r="48" spans="4:25" x14ac:dyDescent="0.25">
      <c r="D48" s="21" t="s">
        <v>36</v>
      </c>
      <c r="E48" s="11">
        <v>0.46483999999999998</v>
      </c>
      <c r="F48" s="11">
        <v>0.49032999999999999</v>
      </c>
      <c r="G48" s="16">
        <v>0.47316999999999998</v>
      </c>
      <c r="H48" s="16">
        <v>0.49075000000000002</v>
      </c>
      <c r="I48" s="5">
        <v>0.51737</v>
      </c>
      <c r="J48" s="148">
        <v>0.46951999999999999</v>
      </c>
      <c r="K48" s="6">
        <v>0.44736999999999999</v>
      </c>
      <c r="L48" s="18">
        <v>0.50331000000000004</v>
      </c>
      <c r="M48" s="146">
        <v>0.41988999999999999</v>
      </c>
      <c r="P48" s="21" t="s">
        <v>36</v>
      </c>
      <c r="Q48" s="11">
        <v>0.42315000000000003</v>
      </c>
      <c r="R48" s="16">
        <v>0.42369000000000001</v>
      </c>
      <c r="S48" s="5">
        <v>0.43962000000000001</v>
      </c>
      <c r="T48" s="16">
        <v>0.43697999999999998</v>
      </c>
      <c r="U48" s="16">
        <v>0.45188</v>
      </c>
      <c r="V48" s="148">
        <v>0.42796000000000001</v>
      </c>
      <c r="W48" s="6">
        <v>0.76910999999999996</v>
      </c>
      <c r="X48" s="18">
        <v>0.79845999999999995</v>
      </c>
      <c r="Y48" s="146">
        <v>0.76748000000000005</v>
      </c>
    </row>
    <row r="49" spans="4:25" x14ac:dyDescent="0.25">
      <c r="D49" s="21" t="s">
        <v>38</v>
      </c>
      <c r="E49" s="11">
        <v>0.50188999999999995</v>
      </c>
      <c r="F49" s="161">
        <v>0.46920000000000001</v>
      </c>
      <c r="G49" s="148">
        <v>0.46432000000000001</v>
      </c>
      <c r="H49" s="16">
        <v>0.38352000000000003</v>
      </c>
      <c r="I49" s="149">
        <v>0.37012</v>
      </c>
      <c r="J49" s="148">
        <v>0.37409999999999999</v>
      </c>
      <c r="K49" s="6">
        <v>0.39168999999999998</v>
      </c>
      <c r="L49" s="18">
        <v>0.39901999999999999</v>
      </c>
      <c r="M49" s="22">
        <v>0.40798000000000001</v>
      </c>
      <c r="P49" s="21" t="s">
        <v>38</v>
      </c>
      <c r="Q49" s="11">
        <v>0.50731000000000004</v>
      </c>
      <c r="R49" s="148">
        <v>0.48361999999999999</v>
      </c>
      <c r="S49" s="149">
        <v>0.41808000000000001</v>
      </c>
      <c r="T49" s="16">
        <v>0.42616999999999999</v>
      </c>
      <c r="U49" s="148">
        <v>0.41461999999999999</v>
      </c>
      <c r="V49" s="148">
        <v>0.38739000000000001</v>
      </c>
      <c r="W49" s="6">
        <v>0.59728999999999999</v>
      </c>
      <c r="X49" s="18">
        <v>0.60209999999999997</v>
      </c>
      <c r="Y49" s="146">
        <v>0.58284000000000002</v>
      </c>
    </row>
    <row r="50" spans="4:25" x14ac:dyDescent="0.25">
      <c r="D50" s="21" t="s">
        <v>24</v>
      </c>
      <c r="E50" s="11">
        <v>0.53254000000000001</v>
      </c>
      <c r="F50" s="161">
        <v>0.50956000000000001</v>
      </c>
      <c r="G50" s="16">
        <v>0.53405000000000002</v>
      </c>
      <c r="H50" s="16">
        <v>0.28994999999999999</v>
      </c>
      <c r="I50" s="149">
        <v>0.28355999999999998</v>
      </c>
      <c r="J50" s="16">
        <v>0.29026000000000002</v>
      </c>
      <c r="K50" s="6">
        <v>0.58962000000000003</v>
      </c>
      <c r="L50" s="155">
        <v>0.56345999999999996</v>
      </c>
      <c r="M50" s="146">
        <v>0.58677999999999997</v>
      </c>
      <c r="P50" s="21" t="s">
        <v>24</v>
      </c>
      <c r="Q50" s="11">
        <v>0.20716999999999999</v>
      </c>
      <c r="R50" s="148">
        <v>0.20354</v>
      </c>
      <c r="S50" s="149">
        <v>0.19943</v>
      </c>
      <c r="T50" s="16">
        <v>0.21748000000000001</v>
      </c>
      <c r="U50" s="148">
        <v>0.21457999999999999</v>
      </c>
      <c r="V50" s="148">
        <v>0.20785999999999999</v>
      </c>
      <c r="W50" s="6">
        <v>0.53566999999999998</v>
      </c>
      <c r="X50" s="155">
        <v>0.53198999999999996</v>
      </c>
      <c r="Y50" s="146">
        <v>0.50968000000000002</v>
      </c>
    </row>
    <row r="51" spans="4:25" x14ac:dyDescent="0.25">
      <c r="D51" s="21" t="s">
        <v>25</v>
      </c>
      <c r="E51" s="11">
        <v>0.23316000000000001</v>
      </c>
      <c r="F51" s="161">
        <v>0.21840999999999999</v>
      </c>
      <c r="G51" s="148">
        <v>0.21443999999999999</v>
      </c>
      <c r="H51" s="16">
        <v>0.20329</v>
      </c>
      <c r="I51" s="149">
        <v>0.19220999999999999</v>
      </c>
      <c r="J51" s="148">
        <v>0.19058</v>
      </c>
      <c r="K51" s="6">
        <v>0.7651</v>
      </c>
      <c r="L51" s="155">
        <v>0.72019</v>
      </c>
      <c r="M51" s="146">
        <v>0.71203000000000005</v>
      </c>
      <c r="P51" s="21" t="s">
        <v>25</v>
      </c>
      <c r="Q51" s="11">
        <v>0.26587</v>
      </c>
      <c r="R51" s="16">
        <v>0.26807999999999998</v>
      </c>
      <c r="S51" s="149">
        <v>0.25701000000000002</v>
      </c>
      <c r="T51" s="16">
        <v>0.22919</v>
      </c>
      <c r="U51" s="16">
        <v>0.23291999999999999</v>
      </c>
      <c r="V51" s="148">
        <v>0.22857</v>
      </c>
      <c r="W51" s="6">
        <v>0.88036999999999999</v>
      </c>
      <c r="X51" s="18">
        <v>0.89578000000000002</v>
      </c>
      <c r="Y51" s="22">
        <v>0.88748000000000005</v>
      </c>
    </row>
    <row r="52" spans="4:25" x14ac:dyDescent="0.25">
      <c r="D52" s="21" t="s">
        <v>45</v>
      </c>
      <c r="E52" s="11">
        <v>0.26449</v>
      </c>
      <c r="F52" s="11">
        <v>0.26673999999999998</v>
      </c>
      <c r="G52" s="16">
        <v>0.26665</v>
      </c>
      <c r="H52" s="16">
        <v>0.29499999999999998</v>
      </c>
      <c r="I52" s="5">
        <v>0.29848999999999998</v>
      </c>
      <c r="J52" s="16">
        <v>0.30269000000000001</v>
      </c>
      <c r="K52" s="6">
        <v>0.89802999999999999</v>
      </c>
      <c r="L52" s="18">
        <v>0.90105000000000002</v>
      </c>
      <c r="M52" s="22">
        <v>0.91119000000000006</v>
      </c>
      <c r="P52" s="21" t="s">
        <v>45</v>
      </c>
      <c r="Q52" s="11">
        <v>0.33861000000000002</v>
      </c>
      <c r="R52" s="148">
        <v>0.33804000000000001</v>
      </c>
      <c r="S52" s="149">
        <v>0.31952000000000003</v>
      </c>
      <c r="T52" s="16">
        <v>0.27884999999999999</v>
      </c>
      <c r="U52" s="148">
        <v>0.27725</v>
      </c>
      <c r="V52" s="148">
        <v>0.2737</v>
      </c>
      <c r="W52" s="6">
        <v>0.58638000000000001</v>
      </c>
      <c r="X52" s="18">
        <v>0.58938000000000001</v>
      </c>
      <c r="Y52" s="146">
        <v>0.56937000000000004</v>
      </c>
    </row>
    <row r="53" spans="4:25" x14ac:dyDescent="0.25">
      <c r="D53" s="21" t="s">
        <v>26</v>
      </c>
      <c r="E53" s="11">
        <v>0.21904999999999999</v>
      </c>
      <c r="F53" s="161">
        <v>0.21435999999999999</v>
      </c>
      <c r="G53" s="148">
        <v>0.21604999999999999</v>
      </c>
      <c r="H53" s="16">
        <v>0.22209999999999999</v>
      </c>
      <c r="I53" s="149">
        <v>0.22198999999999999</v>
      </c>
      <c r="J53" s="16">
        <v>0.22397</v>
      </c>
      <c r="K53" s="6">
        <v>0.57472999999999996</v>
      </c>
      <c r="L53" s="155">
        <v>0.57018000000000002</v>
      </c>
      <c r="M53" s="22">
        <v>0.57648999999999995</v>
      </c>
      <c r="P53" s="21" t="s">
        <v>26</v>
      </c>
      <c r="Q53" s="11">
        <v>0.28512999999999999</v>
      </c>
      <c r="R53" s="148">
        <v>0.28405999999999998</v>
      </c>
      <c r="S53" s="149">
        <v>0.26723000000000002</v>
      </c>
      <c r="T53" s="16">
        <v>0.24321999999999999</v>
      </c>
      <c r="U53" s="16">
        <v>0.24490999999999999</v>
      </c>
      <c r="V53" s="148">
        <v>0.23866999999999999</v>
      </c>
      <c r="W53" s="6">
        <v>0.66444000000000003</v>
      </c>
      <c r="X53" s="18">
        <v>0.67467999999999995</v>
      </c>
      <c r="Y53" s="146">
        <v>0.61870000000000003</v>
      </c>
    </row>
    <row r="54" spans="4:25" x14ac:dyDescent="0.25">
      <c r="D54" s="21" t="s">
        <v>27</v>
      </c>
      <c r="E54" s="11">
        <v>0.26436999999999999</v>
      </c>
      <c r="F54" s="11">
        <v>0.26457999999999998</v>
      </c>
      <c r="G54" s="148">
        <v>0.24482999999999999</v>
      </c>
      <c r="H54" s="16">
        <v>0.26840999999999998</v>
      </c>
      <c r="I54" s="5">
        <v>0.27454000000000001</v>
      </c>
      <c r="J54" s="16">
        <v>0.26884999999999998</v>
      </c>
      <c r="K54" s="6">
        <v>0.41699000000000003</v>
      </c>
      <c r="L54" s="18">
        <v>0.41948000000000002</v>
      </c>
      <c r="M54" s="146">
        <v>0.41492000000000001</v>
      </c>
      <c r="P54" s="21" t="s">
        <v>27</v>
      </c>
      <c r="Q54" s="11">
        <v>0.30485000000000001</v>
      </c>
      <c r="R54" s="148">
        <v>0.30113000000000001</v>
      </c>
      <c r="S54" s="149">
        <v>0.26102999999999998</v>
      </c>
      <c r="T54" s="16">
        <v>0.25871</v>
      </c>
      <c r="U54" s="16">
        <v>0.26135000000000003</v>
      </c>
      <c r="V54" s="148">
        <v>0.24149999999999999</v>
      </c>
      <c r="W54" s="6">
        <v>0.62831999999999999</v>
      </c>
      <c r="X54" s="18">
        <v>0.67445999999999995</v>
      </c>
      <c r="Y54" s="146">
        <v>0.60512999999999995</v>
      </c>
    </row>
    <row r="55" spans="4:25" x14ac:dyDescent="0.25">
      <c r="D55" s="21" t="s">
        <v>28</v>
      </c>
      <c r="E55" s="11">
        <v>0.33585999999999999</v>
      </c>
      <c r="F55" s="161">
        <v>0.32388</v>
      </c>
      <c r="G55" s="148">
        <v>0.33455000000000001</v>
      </c>
      <c r="H55" s="16">
        <v>0.34308</v>
      </c>
      <c r="I55" s="149">
        <v>0.33277000000000001</v>
      </c>
      <c r="J55" s="16">
        <v>0.34708</v>
      </c>
      <c r="K55" s="6">
        <v>0.75019999999999998</v>
      </c>
      <c r="L55" s="155">
        <v>0.73346</v>
      </c>
      <c r="M55" s="22">
        <v>0.75105</v>
      </c>
      <c r="P55" s="21" t="s">
        <v>28</v>
      </c>
      <c r="Q55" s="11">
        <v>0.29074</v>
      </c>
      <c r="R55" s="16">
        <v>0.29308000000000001</v>
      </c>
      <c r="S55" s="149">
        <v>0.27594000000000002</v>
      </c>
      <c r="T55" s="16">
        <v>0.26729000000000003</v>
      </c>
      <c r="U55" s="16">
        <v>0.26962999999999998</v>
      </c>
      <c r="V55" s="148">
        <v>0.26355000000000001</v>
      </c>
      <c r="W55" s="6">
        <v>0.36431000000000002</v>
      </c>
      <c r="X55" s="155">
        <v>0.36277999999999999</v>
      </c>
      <c r="Y55" s="146">
        <v>0.36412</v>
      </c>
    </row>
    <row r="56" spans="4:25" x14ac:dyDescent="0.25">
      <c r="D56" s="21" t="s">
        <v>39</v>
      </c>
      <c r="E56" s="11">
        <v>0.35006999999999999</v>
      </c>
      <c r="F56" s="11">
        <v>0.35008</v>
      </c>
      <c r="G56" s="148">
        <v>0.32052000000000003</v>
      </c>
      <c r="H56" s="16">
        <v>0.40898000000000001</v>
      </c>
      <c r="I56" s="149">
        <v>0.40776000000000001</v>
      </c>
      <c r="J56" s="148">
        <v>0.37513999999999997</v>
      </c>
      <c r="K56" s="6">
        <v>0.99324999999999997</v>
      </c>
      <c r="L56" s="18">
        <v>0.99378999999999995</v>
      </c>
      <c r="M56" s="146">
        <v>0.92766999999999999</v>
      </c>
      <c r="P56" s="21" t="s">
        <v>39</v>
      </c>
      <c r="Q56" s="11">
        <v>0.42979000000000001</v>
      </c>
      <c r="R56" s="148">
        <v>0.42818000000000001</v>
      </c>
      <c r="S56" s="149">
        <v>0.42859999999999998</v>
      </c>
      <c r="T56" s="16">
        <v>0.39439000000000002</v>
      </c>
      <c r="U56" s="148">
        <v>0.39348</v>
      </c>
      <c r="V56" s="148">
        <v>0.39129000000000003</v>
      </c>
      <c r="W56" s="6">
        <v>0.99787000000000003</v>
      </c>
      <c r="X56" s="155">
        <v>0.99609000000000003</v>
      </c>
      <c r="Y56" s="146">
        <v>0.99324000000000001</v>
      </c>
    </row>
    <row r="57" spans="4:25" x14ac:dyDescent="0.25">
      <c r="D57" s="23" t="s">
        <v>40</v>
      </c>
      <c r="E57" s="12">
        <v>0.4919</v>
      </c>
      <c r="F57" s="162">
        <v>0.47448000000000001</v>
      </c>
      <c r="G57" s="17">
        <v>0.49826999999999999</v>
      </c>
      <c r="H57" s="17">
        <v>0.56423999999999996</v>
      </c>
      <c r="I57" s="157">
        <v>0.54998000000000002</v>
      </c>
      <c r="J57" s="151">
        <v>0.55964000000000003</v>
      </c>
      <c r="K57" s="14">
        <v>0.53964999999999996</v>
      </c>
      <c r="L57" s="156">
        <v>0.51509000000000005</v>
      </c>
      <c r="M57" s="147">
        <v>0.53730999999999995</v>
      </c>
      <c r="P57" s="23" t="s">
        <v>40</v>
      </c>
      <c r="Q57" s="12">
        <v>0.47323999999999999</v>
      </c>
      <c r="R57" s="151">
        <v>0.46622000000000002</v>
      </c>
      <c r="S57" s="157">
        <v>0.45773999999999998</v>
      </c>
      <c r="T57" s="17">
        <v>0.47084999999999999</v>
      </c>
      <c r="U57" s="151">
        <v>0.46698000000000001</v>
      </c>
      <c r="V57" s="151">
        <v>0.45178000000000001</v>
      </c>
      <c r="W57" s="14">
        <v>0.47297</v>
      </c>
      <c r="X57" s="156">
        <v>0.46875</v>
      </c>
      <c r="Y57" s="147">
        <v>0.45854</v>
      </c>
    </row>
    <row r="58" spans="4:25" x14ac:dyDescent="0.25">
      <c r="D58" s="19" t="s">
        <v>43</v>
      </c>
      <c r="E58" s="174" t="s">
        <v>10</v>
      </c>
      <c r="F58" s="174"/>
      <c r="G58" s="174"/>
      <c r="H58" s="174" t="s">
        <v>11</v>
      </c>
      <c r="I58" s="174"/>
      <c r="J58" s="174"/>
      <c r="K58" s="174" t="s">
        <v>1</v>
      </c>
      <c r="L58" s="174"/>
      <c r="M58" s="174"/>
      <c r="P58" s="19" t="s">
        <v>35</v>
      </c>
      <c r="Q58" s="174" t="s">
        <v>10</v>
      </c>
      <c r="R58" s="174"/>
      <c r="S58" s="174"/>
      <c r="T58" s="174" t="s">
        <v>11</v>
      </c>
      <c r="U58" s="174"/>
      <c r="V58" s="174"/>
      <c r="W58" s="174" t="s">
        <v>1</v>
      </c>
      <c r="X58" s="174"/>
      <c r="Y58" s="174"/>
    </row>
    <row r="59" spans="4:25" x14ac:dyDescent="0.25">
      <c r="D59" s="20" t="s">
        <v>29</v>
      </c>
      <c r="E59" s="8" t="s">
        <v>5</v>
      </c>
      <c r="F59" s="15" t="s">
        <v>17</v>
      </c>
      <c r="G59" s="9" t="s">
        <v>8</v>
      </c>
      <c r="H59" s="15" t="s">
        <v>5</v>
      </c>
      <c r="I59" s="9" t="s">
        <v>17</v>
      </c>
      <c r="J59" s="15" t="s">
        <v>8</v>
      </c>
      <c r="K59" s="9" t="s">
        <v>5</v>
      </c>
      <c r="L59" s="15" t="s">
        <v>17</v>
      </c>
      <c r="M59" s="10" t="s">
        <v>8</v>
      </c>
      <c r="P59" s="20" t="s">
        <v>29</v>
      </c>
      <c r="Q59" s="8" t="s">
        <v>5</v>
      </c>
      <c r="R59" s="15" t="s">
        <v>17</v>
      </c>
      <c r="S59" s="9" t="s">
        <v>8</v>
      </c>
      <c r="T59" s="8" t="s">
        <v>5</v>
      </c>
      <c r="U59" s="15" t="s">
        <v>17</v>
      </c>
      <c r="V59" s="9" t="s">
        <v>8</v>
      </c>
      <c r="W59" s="8" t="s">
        <v>5</v>
      </c>
      <c r="X59" s="15" t="s">
        <v>17</v>
      </c>
      <c r="Y59" s="15" t="s">
        <v>8</v>
      </c>
    </row>
    <row r="60" spans="4:25" x14ac:dyDescent="0.25">
      <c r="D60" s="21" t="s">
        <v>20</v>
      </c>
      <c r="E60" s="11">
        <v>0.24612000000000001</v>
      </c>
      <c r="F60" s="11">
        <v>0.25441000000000003</v>
      </c>
      <c r="G60" s="16">
        <v>0.25024000000000002</v>
      </c>
      <c r="H60" s="16">
        <v>0.21604999999999999</v>
      </c>
      <c r="I60" s="5">
        <v>0.22173000000000001</v>
      </c>
      <c r="J60" s="16">
        <v>0.21951999999999999</v>
      </c>
      <c r="K60" s="6">
        <v>0.66688000000000003</v>
      </c>
      <c r="L60" s="18">
        <v>0.68559000000000003</v>
      </c>
      <c r="M60" s="22">
        <v>0.67176999999999998</v>
      </c>
      <c r="P60" s="21" t="s">
        <v>20</v>
      </c>
      <c r="Q60" s="11">
        <v>0.20724000000000001</v>
      </c>
      <c r="R60" s="148">
        <v>0.20308999999999999</v>
      </c>
      <c r="S60" s="149">
        <v>0.20200000000000001</v>
      </c>
      <c r="T60" s="16">
        <v>0.21121000000000001</v>
      </c>
      <c r="U60" s="149">
        <v>0.20768</v>
      </c>
      <c r="V60" s="148">
        <v>0.20732</v>
      </c>
      <c r="W60" s="6">
        <v>0.74221999999999999</v>
      </c>
      <c r="X60" s="155">
        <v>0.73184000000000005</v>
      </c>
      <c r="Y60" s="146">
        <v>0.73475999999999997</v>
      </c>
    </row>
    <row r="61" spans="4:25" x14ac:dyDescent="0.25">
      <c r="D61" s="21" t="s">
        <v>21</v>
      </c>
      <c r="E61" s="11">
        <v>0.40705000000000002</v>
      </c>
      <c r="F61" s="161">
        <v>0.40104000000000001</v>
      </c>
      <c r="G61" s="16">
        <v>0.42110999999999998</v>
      </c>
      <c r="H61" s="16">
        <v>0.38896999999999998</v>
      </c>
      <c r="I61" s="149">
        <v>0.38764999999999999</v>
      </c>
      <c r="J61" s="16">
        <v>0.38993</v>
      </c>
      <c r="K61" s="6">
        <v>0.81537000000000004</v>
      </c>
      <c r="L61" s="155">
        <v>0.80052000000000001</v>
      </c>
      <c r="M61" s="22">
        <v>0.81852999999999998</v>
      </c>
      <c r="P61" s="21" t="s">
        <v>21</v>
      </c>
      <c r="Q61" s="11">
        <v>0.29547000000000001</v>
      </c>
      <c r="R61" s="16">
        <v>0.29575000000000001</v>
      </c>
      <c r="S61" s="5">
        <v>0.30417</v>
      </c>
      <c r="T61" s="16">
        <v>0.28691</v>
      </c>
      <c r="U61" s="149">
        <v>0.28600999999999999</v>
      </c>
      <c r="V61" s="148">
        <v>0.27426</v>
      </c>
      <c r="W61" s="6">
        <v>0.67791000000000001</v>
      </c>
      <c r="X61" s="18">
        <v>0.70013999999999998</v>
      </c>
      <c r="Y61" s="22">
        <v>0.70408000000000004</v>
      </c>
    </row>
    <row r="62" spans="4:25" x14ac:dyDescent="0.25">
      <c r="D62" s="21" t="s">
        <v>22</v>
      </c>
      <c r="E62" s="11">
        <v>0.32247999999999999</v>
      </c>
      <c r="F62" s="161">
        <v>0.31869999999999998</v>
      </c>
      <c r="G62" s="148">
        <v>0.32019999999999998</v>
      </c>
      <c r="H62" s="16">
        <v>0.33284999999999998</v>
      </c>
      <c r="I62" s="5">
        <v>0.33333000000000002</v>
      </c>
      <c r="J62" s="148">
        <v>0.33243</v>
      </c>
      <c r="K62" s="6">
        <v>0.78422999999999998</v>
      </c>
      <c r="L62" s="155">
        <v>0.77766999999999997</v>
      </c>
      <c r="M62" s="146">
        <v>0.77936000000000005</v>
      </c>
      <c r="P62" s="21" t="s">
        <v>22</v>
      </c>
      <c r="Q62" s="11">
        <v>0.30897000000000002</v>
      </c>
      <c r="R62" s="16">
        <v>0.31220999999999999</v>
      </c>
      <c r="S62" s="149">
        <v>0.30323</v>
      </c>
      <c r="T62" s="16">
        <v>0.31389</v>
      </c>
      <c r="U62" s="5">
        <v>0.32178000000000001</v>
      </c>
      <c r="V62" s="148">
        <v>0.30987999999999999</v>
      </c>
      <c r="W62" s="6">
        <v>0.70133000000000001</v>
      </c>
      <c r="X62" s="18">
        <v>0.70238</v>
      </c>
      <c r="Y62" s="146">
        <v>0.68184999999999996</v>
      </c>
    </row>
    <row r="63" spans="4:25" x14ac:dyDescent="0.25">
      <c r="D63" s="21" t="s">
        <v>23</v>
      </c>
      <c r="E63" s="11">
        <v>0.314</v>
      </c>
      <c r="F63" s="161">
        <v>0.30742000000000003</v>
      </c>
      <c r="G63" s="148">
        <v>0.30534</v>
      </c>
      <c r="H63" s="16">
        <v>0.36403999999999997</v>
      </c>
      <c r="I63" s="149">
        <v>0.35476999999999997</v>
      </c>
      <c r="J63" s="148">
        <v>0.35015000000000002</v>
      </c>
      <c r="K63" s="6">
        <v>0.63026000000000004</v>
      </c>
      <c r="L63" s="155">
        <v>0.61275999999999997</v>
      </c>
      <c r="M63" s="146">
        <v>0.61177999999999999</v>
      </c>
      <c r="P63" s="21" t="s">
        <v>23</v>
      </c>
      <c r="Q63" s="11">
        <v>0.30168</v>
      </c>
      <c r="R63" s="148">
        <v>0.29865000000000003</v>
      </c>
      <c r="S63" s="149">
        <v>0.29015999999999997</v>
      </c>
      <c r="T63" s="16">
        <v>0.30315999999999999</v>
      </c>
      <c r="U63" s="149">
        <v>0.29947000000000001</v>
      </c>
      <c r="V63" s="148">
        <v>0.28766999999999998</v>
      </c>
      <c r="W63" s="6">
        <v>0.67432000000000003</v>
      </c>
      <c r="X63" s="155">
        <v>0.67198999999999998</v>
      </c>
      <c r="Y63" s="146">
        <v>0.66315000000000002</v>
      </c>
    </row>
    <row r="64" spans="4:25" x14ac:dyDescent="0.25">
      <c r="D64" s="21" t="s">
        <v>37</v>
      </c>
      <c r="E64" s="11">
        <v>0.29365999999999998</v>
      </c>
      <c r="F64" s="11">
        <v>0.29547000000000001</v>
      </c>
      <c r="G64" s="16">
        <v>0.30471999999999999</v>
      </c>
      <c r="H64" s="16">
        <v>0.27267000000000002</v>
      </c>
      <c r="I64" s="149">
        <v>0.26772000000000001</v>
      </c>
      <c r="J64" s="16">
        <v>0.27523999999999998</v>
      </c>
      <c r="K64" s="6">
        <v>0.85436999999999996</v>
      </c>
      <c r="L64" s="155">
        <v>0.83781000000000005</v>
      </c>
      <c r="M64" s="22">
        <v>0.86292000000000002</v>
      </c>
      <c r="P64" s="21" t="s">
        <v>37</v>
      </c>
      <c r="Q64" s="11">
        <v>0.32593</v>
      </c>
      <c r="R64" s="148">
        <v>0.32135999999999998</v>
      </c>
      <c r="S64" s="149">
        <v>0.32529000000000002</v>
      </c>
      <c r="T64" s="16">
        <v>0.2671</v>
      </c>
      <c r="U64" s="149">
        <v>0.25908999999999999</v>
      </c>
      <c r="V64" s="148">
        <v>0.24937000000000001</v>
      </c>
      <c r="W64" s="6">
        <v>0.96560999999999997</v>
      </c>
      <c r="X64" s="155">
        <v>0.93738999999999995</v>
      </c>
      <c r="Y64" s="146">
        <v>0.90505999999999998</v>
      </c>
    </row>
    <row r="65" spans="4:25" x14ac:dyDescent="0.25">
      <c r="D65" s="21" t="s">
        <v>36</v>
      </c>
      <c r="E65" s="11">
        <v>0.69825000000000004</v>
      </c>
      <c r="F65" s="161">
        <v>0.68389</v>
      </c>
      <c r="G65" s="148">
        <v>0.69055999999999995</v>
      </c>
      <c r="H65" s="16">
        <v>0.61514000000000002</v>
      </c>
      <c r="I65" s="5">
        <v>0.64902000000000004</v>
      </c>
      <c r="J65" s="148">
        <v>0.59160999999999997</v>
      </c>
      <c r="K65" s="6">
        <v>0.91222999999999999</v>
      </c>
      <c r="L65" s="18">
        <v>1.0684400000000001</v>
      </c>
      <c r="M65" s="146">
        <v>0.88314999999999999</v>
      </c>
      <c r="P65" s="21" t="s">
        <v>36</v>
      </c>
      <c r="Q65" s="11">
        <v>0.41160999999999998</v>
      </c>
      <c r="R65" s="16">
        <v>0.41752</v>
      </c>
      <c r="S65" s="5">
        <v>0.42720000000000002</v>
      </c>
      <c r="T65" s="16">
        <v>0.43719000000000002</v>
      </c>
      <c r="U65" s="5">
        <v>0.45347999999999999</v>
      </c>
      <c r="V65" s="148">
        <v>0.42973</v>
      </c>
      <c r="W65" s="6">
        <v>0.76017999999999997</v>
      </c>
      <c r="X65" s="18">
        <v>0.78132000000000001</v>
      </c>
      <c r="Y65" s="22">
        <v>0.76151000000000002</v>
      </c>
    </row>
    <row r="66" spans="4:25" x14ac:dyDescent="0.25">
      <c r="D66" s="21" t="s">
        <v>38</v>
      </c>
      <c r="E66" s="11">
        <v>0.46812999999999999</v>
      </c>
      <c r="F66" s="161">
        <v>0.44342999999999999</v>
      </c>
      <c r="G66" s="148">
        <v>0.42847000000000002</v>
      </c>
      <c r="H66" s="16">
        <v>0.39233000000000001</v>
      </c>
      <c r="I66" s="149">
        <v>0.38640999999999998</v>
      </c>
      <c r="J66" s="148">
        <v>0.38159999999999999</v>
      </c>
      <c r="K66" s="6">
        <v>0.43239</v>
      </c>
      <c r="L66" s="18">
        <v>0.44181999999999999</v>
      </c>
      <c r="M66" s="22">
        <v>0.43690000000000001</v>
      </c>
      <c r="P66" s="21" t="s">
        <v>38</v>
      </c>
      <c r="Q66" s="11">
        <v>0.52393000000000001</v>
      </c>
      <c r="R66" s="148">
        <v>0.49034</v>
      </c>
      <c r="S66" s="149">
        <v>0.42730000000000001</v>
      </c>
      <c r="T66" s="16">
        <v>0.43839</v>
      </c>
      <c r="U66" s="149">
        <v>0.42652000000000001</v>
      </c>
      <c r="V66" s="148">
        <v>0.39806999999999998</v>
      </c>
      <c r="W66" s="6">
        <v>0.57740999999999998</v>
      </c>
      <c r="X66" s="155">
        <v>0.57499</v>
      </c>
      <c r="Y66" s="146">
        <v>0.55657999999999996</v>
      </c>
    </row>
    <row r="67" spans="4:25" x14ac:dyDescent="0.25">
      <c r="D67" s="21" t="s">
        <v>24</v>
      </c>
      <c r="E67" s="11">
        <v>0.38188</v>
      </c>
      <c r="F67" s="161">
        <v>0.36348999999999998</v>
      </c>
      <c r="G67" s="148">
        <v>0.37375000000000003</v>
      </c>
      <c r="H67" s="16">
        <v>0.28508</v>
      </c>
      <c r="I67" s="149">
        <v>0.27417999999999998</v>
      </c>
      <c r="J67" s="148">
        <v>0.27650000000000002</v>
      </c>
      <c r="K67" s="6">
        <v>0.59782000000000002</v>
      </c>
      <c r="L67" s="155">
        <v>0.56655</v>
      </c>
      <c r="M67" s="146">
        <v>0.57935000000000003</v>
      </c>
      <c r="P67" s="21" t="s">
        <v>24</v>
      </c>
      <c r="Q67" s="11">
        <v>0.22012000000000001</v>
      </c>
      <c r="R67" s="148">
        <v>0.21909000000000001</v>
      </c>
      <c r="S67" s="149">
        <v>0.21329000000000001</v>
      </c>
      <c r="T67" s="16">
        <v>0.22083</v>
      </c>
      <c r="U67" s="149">
        <v>0.22028</v>
      </c>
      <c r="V67" s="148">
        <v>0.21160000000000001</v>
      </c>
      <c r="W67" s="6">
        <v>0.51749000000000001</v>
      </c>
      <c r="X67" s="155">
        <v>0.51526000000000005</v>
      </c>
      <c r="Y67" s="146">
        <v>0.49331999999999998</v>
      </c>
    </row>
    <row r="68" spans="4:25" x14ac:dyDescent="0.25">
      <c r="D68" s="21" t="s">
        <v>25</v>
      </c>
      <c r="E68" s="11">
        <v>0.25370999999999999</v>
      </c>
      <c r="F68" s="161">
        <v>0.24510000000000001</v>
      </c>
      <c r="G68" s="148">
        <v>0.23777999999999999</v>
      </c>
      <c r="H68" s="16">
        <v>0.21375</v>
      </c>
      <c r="I68" s="149">
        <v>0.20924000000000001</v>
      </c>
      <c r="J68" s="148">
        <v>0.20682</v>
      </c>
      <c r="K68" s="6">
        <v>0.80259000000000003</v>
      </c>
      <c r="L68" s="155">
        <v>0.78452</v>
      </c>
      <c r="M68" s="146">
        <v>0.76988999999999996</v>
      </c>
      <c r="P68" s="21" t="s">
        <v>25</v>
      </c>
      <c r="Q68" s="11">
        <v>0.27828000000000003</v>
      </c>
      <c r="R68" s="16">
        <v>0.28166000000000002</v>
      </c>
      <c r="S68" s="149">
        <v>0.26418000000000003</v>
      </c>
      <c r="T68" s="16">
        <v>0.23469999999999999</v>
      </c>
      <c r="U68" s="5">
        <v>0.23913000000000001</v>
      </c>
      <c r="V68" s="148">
        <v>0.22892000000000001</v>
      </c>
      <c r="W68" s="6">
        <v>0.91037999999999997</v>
      </c>
      <c r="X68" s="18">
        <v>0.92920999999999998</v>
      </c>
      <c r="Y68" s="146">
        <v>0.89759999999999995</v>
      </c>
    </row>
    <row r="69" spans="4:25" x14ac:dyDescent="0.25">
      <c r="D69" t="s">
        <v>45</v>
      </c>
      <c r="E69" s="11">
        <v>0.33623999999999998</v>
      </c>
      <c r="F69" s="11">
        <v>0.33855000000000002</v>
      </c>
      <c r="G69" s="148">
        <v>0.33350999999999997</v>
      </c>
      <c r="H69" s="16">
        <v>0.35253000000000001</v>
      </c>
      <c r="I69" s="5">
        <v>0.35642000000000001</v>
      </c>
      <c r="J69" s="16">
        <v>0.35792000000000002</v>
      </c>
      <c r="K69" s="6">
        <v>1.1017600000000001</v>
      </c>
      <c r="L69" s="18">
        <v>1.1101700000000001</v>
      </c>
      <c r="M69" s="22">
        <v>1.10867</v>
      </c>
      <c r="P69" s="21" t="s">
        <v>45</v>
      </c>
      <c r="Q69" s="11">
        <v>0.35438999999999998</v>
      </c>
      <c r="R69" s="16">
        <v>0.36044999999999999</v>
      </c>
      <c r="S69" s="149">
        <v>0.33391999999999999</v>
      </c>
      <c r="T69" s="16">
        <v>0.29193000000000002</v>
      </c>
      <c r="U69" s="5">
        <v>0.29371999999999998</v>
      </c>
      <c r="V69" s="148">
        <v>0.28505999999999998</v>
      </c>
      <c r="W69" s="6">
        <v>0.63766</v>
      </c>
      <c r="X69" s="18">
        <v>0.64807000000000003</v>
      </c>
      <c r="Y69" s="146">
        <v>0.61631999999999998</v>
      </c>
    </row>
    <row r="70" spans="4:25" x14ac:dyDescent="0.25">
      <c r="D70" s="21" t="s">
        <v>26</v>
      </c>
      <c r="E70" s="11">
        <v>0.24859999999999999</v>
      </c>
      <c r="F70" s="161">
        <v>0.24016999999999999</v>
      </c>
      <c r="G70" s="148">
        <v>0.24542</v>
      </c>
      <c r="H70" s="16">
        <v>0.24618999999999999</v>
      </c>
      <c r="I70" s="149">
        <v>0.24185999999999999</v>
      </c>
      <c r="J70" s="16">
        <v>0.24776999999999999</v>
      </c>
      <c r="K70" s="6">
        <v>0.67342999999999997</v>
      </c>
      <c r="L70" s="155">
        <v>0.65986999999999996</v>
      </c>
      <c r="M70" s="146">
        <v>0.67271000000000003</v>
      </c>
      <c r="P70" s="21" t="s">
        <v>26</v>
      </c>
      <c r="Q70" s="11">
        <v>0.33088000000000001</v>
      </c>
      <c r="R70" s="16">
        <v>0.33359</v>
      </c>
      <c r="S70" s="149">
        <v>0.31158000000000002</v>
      </c>
      <c r="T70" s="16">
        <v>0.27539999999999998</v>
      </c>
      <c r="U70" s="5">
        <v>0.27854000000000001</v>
      </c>
      <c r="V70" s="148">
        <v>0.27181</v>
      </c>
      <c r="W70" s="6">
        <v>0.79057999999999995</v>
      </c>
      <c r="X70" s="18">
        <v>0.80901000000000001</v>
      </c>
      <c r="Y70" s="146">
        <v>0.73680000000000001</v>
      </c>
    </row>
    <row r="71" spans="4:25" x14ac:dyDescent="0.25">
      <c r="D71" s="21" t="s">
        <v>27</v>
      </c>
      <c r="E71" s="11">
        <v>0.28461999999999998</v>
      </c>
      <c r="F71" s="161">
        <v>0.27511000000000002</v>
      </c>
      <c r="G71" s="148">
        <v>0.26090000000000002</v>
      </c>
      <c r="H71" s="16">
        <v>0.26136999999999999</v>
      </c>
      <c r="I71" s="5">
        <v>0.26196999999999998</v>
      </c>
      <c r="J71" s="148">
        <v>0.25956000000000001</v>
      </c>
      <c r="K71" s="6">
        <v>0.47904000000000002</v>
      </c>
      <c r="L71" s="155">
        <v>0.47542000000000001</v>
      </c>
      <c r="M71" s="22">
        <v>0.48209000000000002</v>
      </c>
      <c r="P71" s="21" t="s">
        <v>27</v>
      </c>
      <c r="Q71" s="11">
        <v>0.32124999999999998</v>
      </c>
      <c r="R71" s="148">
        <v>0.31280999999999998</v>
      </c>
      <c r="S71" s="149">
        <v>0.27300000000000002</v>
      </c>
      <c r="T71" s="16">
        <v>0.28064</v>
      </c>
      <c r="U71" s="149">
        <v>0.27951999999999999</v>
      </c>
      <c r="V71" s="148">
        <v>0.25818999999999998</v>
      </c>
      <c r="W71" s="6">
        <v>0.72372000000000003</v>
      </c>
      <c r="X71" s="18">
        <v>0.74482999999999999</v>
      </c>
      <c r="Y71" s="146">
        <v>0.69945000000000002</v>
      </c>
    </row>
    <row r="72" spans="4:25" x14ac:dyDescent="0.25">
      <c r="D72" s="21" t="s">
        <v>28</v>
      </c>
      <c r="E72" s="11">
        <v>0.32717000000000002</v>
      </c>
      <c r="F72" s="161">
        <v>0.32569999999999999</v>
      </c>
      <c r="G72" s="16">
        <v>0.32856999999999997</v>
      </c>
      <c r="H72" s="16">
        <v>0.33865000000000001</v>
      </c>
      <c r="I72" s="149">
        <v>0.33761999999999998</v>
      </c>
      <c r="J72" s="16">
        <v>0.34533999999999998</v>
      </c>
      <c r="K72" s="6">
        <v>0.74550000000000005</v>
      </c>
      <c r="L72" s="155">
        <v>0.74058000000000002</v>
      </c>
      <c r="M72" s="22">
        <v>0.75356000000000001</v>
      </c>
      <c r="P72" s="21" t="s">
        <v>28</v>
      </c>
      <c r="Q72" s="11">
        <v>0.31152000000000002</v>
      </c>
      <c r="R72" s="16">
        <v>0.31618000000000002</v>
      </c>
      <c r="S72" s="149">
        <v>0.29576999999999998</v>
      </c>
      <c r="T72" s="16">
        <v>0.28421999999999997</v>
      </c>
      <c r="U72" s="5">
        <v>0.28854000000000002</v>
      </c>
      <c r="V72" s="148">
        <v>0.28139999999999998</v>
      </c>
      <c r="W72" s="6">
        <v>0.4279</v>
      </c>
      <c r="X72" s="18">
        <v>0.4299</v>
      </c>
      <c r="Y72" s="22">
        <v>0.42798999999999998</v>
      </c>
    </row>
    <row r="73" spans="4:25" x14ac:dyDescent="0.25">
      <c r="D73" s="21" t="s">
        <v>39</v>
      </c>
      <c r="E73" s="11">
        <v>0.36266999999999999</v>
      </c>
      <c r="F73" s="11">
        <v>0.36729000000000001</v>
      </c>
      <c r="G73" s="148">
        <v>0.35138999999999998</v>
      </c>
      <c r="H73" s="16">
        <v>0.38895000000000002</v>
      </c>
      <c r="I73" s="5">
        <v>0.39102999999999999</v>
      </c>
      <c r="J73" s="148">
        <v>0.37220999999999999</v>
      </c>
      <c r="K73" s="6">
        <v>1.0071300000000001</v>
      </c>
      <c r="L73" s="18">
        <v>1.01681</v>
      </c>
      <c r="M73" s="146">
        <v>0.96921000000000002</v>
      </c>
      <c r="P73" s="21" t="s">
        <v>39</v>
      </c>
      <c r="Q73" s="11">
        <v>0.42096</v>
      </c>
      <c r="R73" s="148">
        <v>0.41879</v>
      </c>
      <c r="S73" s="5">
        <v>0.42544999999999999</v>
      </c>
      <c r="T73" s="16">
        <v>0.38949</v>
      </c>
      <c r="U73" s="149">
        <v>0.38736999999999999</v>
      </c>
      <c r="V73" s="148">
        <v>0.38700000000000001</v>
      </c>
      <c r="W73" s="6">
        <v>0.95535000000000003</v>
      </c>
      <c r="X73" s="155">
        <v>0.95064000000000004</v>
      </c>
      <c r="Y73" s="146">
        <v>0.95269999999999999</v>
      </c>
    </row>
    <row r="74" spans="4:25" x14ac:dyDescent="0.25">
      <c r="D74" s="23" t="s">
        <v>40</v>
      </c>
      <c r="E74" s="12">
        <v>0.48975000000000002</v>
      </c>
      <c r="F74" s="12">
        <v>0.49878</v>
      </c>
      <c r="G74" s="17">
        <v>0.51919999999999999</v>
      </c>
      <c r="H74" s="17">
        <v>0.50363999999999998</v>
      </c>
      <c r="I74" s="13">
        <v>0.50846000000000002</v>
      </c>
      <c r="J74" s="17">
        <v>0.51087000000000005</v>
      </c>
      <c r="K74" s="14">
        <v>0.53268000000000004</v>
      </c>
      <c r="L74" s="45">
        <v>0.55176000000000003</v>
      </c>
      <c r="M74" s="24">
        <v>0.56984000000000001</v>
      </c>
      <c r="P74" s="23" t="s">
        <v>40</v>
      </c>
      <c r="Q74" s="12">
        <v>0.49081000000000002</v>
      </c>
      <c r="R74" s="151">
        <v>0.48048000000000002</v>
      </c>
      <c r="S74" s="157">
        <v>0.47078999999999999</v>
      </c>
      <c r="T74" s="17">
        <v>0.48905999999999999</v>
      </c>
      <c r="U74" s="157">
        <v>0.48230000000000001</v>
      </c>
      <c r="V74" s="151">
        <v>0.46187</v>
      </c>
      <c r="W74" s="14">
        <v>0.46215000000000001</v>
      </c>
      <c r="X74" s="156">
        <v>0.45844000000000001</v>
      </c>
      <c r="Y74" s="147">
        <v>0.44375999999999999</v>
      </c>
    </row>
    <row r="75" spans="4:25" x14ac:dyDescent="0.25">
      <c r="E75" s="7">
        <f>AVERAGE(E60:E74)</f>
        <v>0.36228866666666659</v>
      </c>
      <c r="F75" s="7">
        <f t="shared" ref="F75:M75" si="0">AVERAGE(F60:F74)</f>
        <v>0.3572366666666667</v>
      </c>
      <c r="G75" s="7">
        <f t="shared" si="0"/>
        <v>0.3580773333333333</v>
      </c>
      <c r="H75" s="7">
        <f t="shared" si="0"/>
        <v>0.34481400000000001</v>
      </c>
      <c r="I75" s="7">
        <f t="shared" si="0"/>
        <v>0.34542733333333331</v>
      </c>
      <c r="J75" s="7">
        <f t="shared" si="0"/>
        <v>0.34116466666666667</v>
      </c>
      <c r="K75" s="7">
        <f t="shared" si="0"/>
        <v>0.73571199999999992</v>
      </c>
      <c r="L75" s="7">
        <f t="shared" si="0"/>
        <v>0.74201933333333325</v>
      </c>
      <c r="M75" s="7">
        <f t="shared" si="0"/>
        <v>0.73131533333333321</v>
      </c>
      <c r="Q75" s="7">
        <f>AVERAGE(Q60:Q74)</f>
        <v>0.34020266666666665</v>
      </c>
      <c r="R75" s="7">
        <f t="shared" ref="R75:Y75" si="1">AVERAGE(R60:R74)</f>
        <v>0.33746466666666669</v>
      </c>
      <c r="S75" s="7">
        <f t="shared" si="1"/>
        <v>0.3244886666666667</v>
      </c>
      <c r="T75" s="7">
        <f t="shared" si="1"/>
        <v>0.31494133333333335</v>
      </c>
      <c r="U75" s="7">
        <f t="shared" si="1"/>
        <v>0.3148953333333333</v>
      </c>
      <c r="V75" s="7">
        <f t="shared" si="1"/>
        <v>0.30281000000000002</v>
      </c>
      <c r="W75" s="7">
        <f t="shared" si="1"/>
        <v>0.70161399999999985</v>
      </c>
      <c r="X75" s="7">
        <f t="shared" si="1"/>
        <v>0.70569399999999993</v>
      </c>
      <c r="Y75" s="7">
        <f t="shared" si="1"/>
        <v>0.68499533333333318</v>
      </c>
    </row>
  </sheetData>
  <mergeCells count="18">
    <mergeCell ref="W24:Y24"/>
    <mergeCell ref="E24:G24"/>
    <mergeCell ref="H24:J24"/>
    <mergeCell ref="K24:M24"/>
    <mergeCell ref="Q24:S24"/>
    <mergeCell ref="T24:V24"/>
    <mergeCell ref="W58:Y58"/>
    <mergeCell ref="E41:G41"/>
    <mergeCell ref="H41:J41"/>
    <mergeCell ref="K41:M41"/>
    <mergeCell ref="Q41:S41"/>
    <mergeCell ref="T41:V41"/>
    <mergeCell ref="W41:Y41"/>
    <mergeCell ref="E58:G58"/>
    <mergeCell ref="H58:J58"/>
    <mergeCell ref="K58:M58"/>
    <mergeCell ref="Q58:S58"/>
    <mergeCell ref="T58:V58"/>
  </mergeCells>
  <conditionalFormatting sqref="R26">
    <cfRule type="cellIs" dxfId="2" priority="1" operator="lessThan">
      <formula>$Q$26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D24:AL77"/>
  <sheetViews>
    <sheetView topLeftCell="N58" zoomScale="90" zoomScaleNormal="90" workbookViewId="0">
      <selection activeCell="R80" sqref="R80"/>
    </sheetView>
  </sheetViews>
  <sheetFormatPr defaultColWidth="9" defaultRowHeight="15" x14ac:dyDescent="0.25"/>
  <cols>
    <col min="1" max="3" width="9" style="4"/>
    <col min="4" max="4" width="22.375" style="4" customWidth="1"/>
    <col min="5" max="15" width="9" style="4"/>
    <col min="16" max="16" width="25.875" style="4" customWidth="1"/>
    <col min="17" max="17" width="13.75" style="4" customWidth="1"/>
    <col min="18" max="28" width="9" style="4"/>
    <col min="29" max="29" width="25.875" style="4" customWidth="1"/>
    <col min="30" max="31" width="9" style="7"/>
    <col min="32" max="16384" width="9" style="4"/>
  </cols>
  <sheetData>
    <row r="24" spans="4:29" x14ac:dyDescent="0.25">
      <c r="D24" s="19" t="s">
        <v>42</v>
      </c>
      <c r="E24" s="174" t="s">
        <v>10</v>
      </c>
      <c r="F24" s="174"/>
      <c r="G24" s="174"/>
      <c r="H24" s="174" t="s">
        <v>11</v>
      </c>
      <c r="I24" s="174"/>
      <c r="J24" s="174"/>
      <c r="K24" s="174" t="s">
        <v>1</v>
      </c>
      <c r="L24" s="174"/>
      <c r="M24" s="174"/>
      <c r="P24" s="19" t="s">
        <v>33</v>
      </c>
      <c r="Q24" s="174" t="s">
        <v>10</v>
      </c>
      <c r="R24" s="174"/>
      <c r="S24" s="174"/>
      <c r="T24" s="174" t="s">
        <v>11</v>
      </c>
      <c r="U24" s="174"/>
      <c r="V24" s="174"/>
      <c r="W24" s="174" t="s">
        <v>1</v>
      </c>
      <c r="X24" s="174"/>
      <c r="Y24" s="174"/>
      <c r="AC24" s="19" t="s">
        <v>33</v>
      </c>
    </row>
    <row r="25" spans="4:29" ht="25.5" x14ac:dyDescent="0.25">
      <c r="D25" s="20" t="s">
        <v>29</v>
      </c>
      <c r="E25" s="8" t="s">
        <v>31</v>
      </c>
      <c r="F25" s="15" t="s">
        <v>32</v>
      </c>
      <c r="G25" s="9" t="s">
        <v>6</v>
      </c>
      <c r="H25" s="8" t="s">
        <v>31</v>
      </c>
      <c r="I25" s="15" t="s">
        <v>32</v>
      </c>
      <c r="J25" s="9" t="s">
        <v>6</v>
      </c>
      <c r="K25" s="8" t="s">
        <v>31</v>
      </c>
      <c r="L25" s="15" t="s">
        <v>32</v>
      </c>
      <c r="M25" s="15" t="s">
        <v>6</v>
      </c>
      <c r="P25" s="20" t="s">
        <v>29</v>
      </c>
      <c r="Q25" s="8" t="s">
        <v>31</v>
      </c>
      <c r="R25" s="15" t="s">
        <v>32</v>
      </c>
      <c r="S25" s="9" t="s">
        <v>6</v>
      </c>
      <c r="T25" s="8" t="s">
        <v>31</v>
      </c>
      <c r="U25" s="15" t="s">
        <v>32</v>
      </c>
      <c r="V25" s="9" t="s">
        <v>6</v>
      </c>
      <c r="W25" s="8" t="s">
        <v>31</v>
      </c>
      <c r="X25" s="15" t="s">
        <v>32</v>
      </c>
      <c r="Y25" s="15" t="s">
        <v>6</v>
      </c>
      <c r="AC25" s="20" t="s">
        <v>29</v>
      </c>
    </row>
    <row r="26" spans="4:29" x14ac:dyDescent="0.25">
      <c r="D26" s="21" t="s">
        <v>20</v>
      </c>
      <c r="E26" s="11">
        <v>0.24923999999999999</v>
      </c>
      <c r="F26" s="16">
        <v>0.24993000000000001</v>
      </c>
      <c r="G26" s="5">
        <v>0.26590000000000003</v>
      </c>
      <c r="H26" s="6">
        <v>0.20807</v>
      </c>
      <c r="I26" s="4">
        <v>0.20751</v>
      </c>
      <c r="J26" s="4">
        <v>0.2228</v>
      </c>
      <c r="K26" s="6">
        <v>0.58472000000000002</v>
      </c>
      <c r="L26" s="18">
        <v>0.59321999999999997</v>
      </c>
      <c r="M26" s="22">
        <v>0.61712999999999996</v>
      </c>
      <c r="P26" s="21" t="s">
        <v>20</v>
      </c>
      <c r="Q26" s="11">
        <v>0.22159000000000001</v>
      </c>
      <c r="R26" s="16">
        <v>0.22488</v>
      </c>
      <c r="S26" s="5">
        <v>0.21299000000000001</v>
      </c>
      <c r="T26" s="16">
        <v>0.22461</v>
      </c>
      <c r="U26" s="16">
        <v>0.22808999999999999</v>
      </c>
      <c r="V26" s="46">
        <v>0.2165</v>
      </c>
      <c r="W26" s="6">
        <v>0.78793999999999997</v>
      </c>
      <c r="X26" s="18">
        <v>0.79971999999999999</v>
      </c>
      <c r="Y26" s="22">
        <v>0.75853999999999999</v>
      </c>
      <c r="AC26" s="21" t="s">
        <v>20</v>
      </c>
    </row>
    <row r="27" spans="4:29" x14ac:dyDescent="0.25">
      <c r="D27" s="21" t="s">
        <v>21</v>
      </c>
      <c r="E27" s="11">
        <v>0.4657</v>
      </c>
      <c r="F27" s="16">
        <v>0.44869999999999999</v>
      </c>
      <c r="G27" s="5">
        <v>0.42388999999999999</v>
      </c>
      <c r="H27" s="6">
        <v>0.62853000000000003</v>
      </c>
      <c r="I27" s="4">
        <v>0.60119999999999996</v>
      </c>
      <c r="J27" s="4">
        <v>0.55893999999999999</v>
      </c>
      <c r="K27" s="6">
        <v>2.5314000000000001</v>
      </c>
      <c r="L27" s="18">
        <v>2.5034900000000002</v>
      </c>
      <c r="M27" s="22">
        <v>2.5314399999999999</v>
      </c>
      <c r="P27" s="21" t="s">
        <v>21</v>
      </c>
      <c r="Q27" s="11">
        <v>0.64500999999999997</v>
      </c>
      <c r="R27" s="16">
        <v>0.65852999999999995</v>
      </c>
      <c r="S27" s="5">
        <v>0.67066000000000003</v>
      </c>
      <c r="T27" s="16">
        <v>0.35857</v>
      </c>
      <c r="U27" s="16">
        <v>0.35969000000000001</v>
      </c>
      <c r="V27" s="16">
        <v>0.33195000000000002</v>
      </c>
      <c r="W27" s="6">
        <v>0.52041999999999999</v>
      </c>
      <c r="X27" s="18">
        <v>0.52998000000000001</v>
      </c>
      <c r="Y27" s="22">
        <v>0.52654000000000001</v>
      </c>
      <c r="AC27" s="21" t="s">
        <v>21</v>
      </c>
    </row>
    <row r="28" spans="4:29" x14ac:dyDescent="0.25">
      <c r="D28" s="21" t="s">
        <v>22</v>
      </c>
      <c r="E28" s="11">
        <v>0.32336999999999999</v>
      </c>
      <c r="F28" s="16">
        <v>0.31633</v>
      </c>
      <c r="G28" s="5">
        <v>0.30948999999999999</v>
      </c>
      <c r="H28" s="6">
        <v>0.38262000000000002</v>
      </c>
      <c r="I28" s="4">
        <v>0.38206000000000001</v>
      </c>
      <c r="J28" s="4">
        <v>0.36781000000000003</v>
      </c>
      <c r="K28" s="6">
        <v>0.89273999999999998</v>
      </c>
      <c r="L28" s="18">
        <v>0.89532999999999996</v>
      </c>
      <c r="M28" s="22">
        <v>0.90158000000000005</v>
      </c>
      <c r="P28" s="21" t="s">
        <v>22</v>
      </c>
      <c r="Q28" s="11">
        <v>0.30559999999999998</v>
      </c>
      <c r="R28" s="16">
        <v>0.30488999999999999</v>
      </c>
      <c r="S28" s="5">
        <v>0.29357</v>
      </c>
      <c r="T28" s="16">
        <v>0.29776999999999998</v>
      </c>
      <c r="U28" s="16">
        <v>0.30198000000000003</v>
      </c>
      <c r="V28" s="16">
        <v>0.29264000000000001</v>
      </c>
      <c r="W28" s="6">
        <v>0.60270999999999997</v>
      </c>
      <c r="X28" s="18">
        <v>0.60575000000000001</v>
      </c>
      <c r="Y28" s="22">
        <v>0.58792</v>
      </c>
      <c r="AC28" s="21" t="s">
        <v>22</v>
      </c>
    </row>
    <row r="29" spans="4:29" x14ac:dyDescent="0.25">
      <c r="D29" s="21" t="s">
        <v>23</v>
      </c>
      <c r="E29" s="11">
        <v>0.34358</v>
      </c>
      <c r="F29" s="16">
        <v>0.31312000000000001</v>
      </c>
      <c r="G29" s="5">
        <v>0.33291999999999999</v>
      </c>
      <c r="H29" s="6">
        <v>0.39480999999999999</v>
      </c>
      <c r="I29" s="4">
        <v>0.35613</v>
      </c>
      <c r="J29" s="4">
        <v>0.38157999999999997</v>
      </c>
      <c r="K29" s="6">
        <v>0.66537999999999997</v>
      </c>
      <c r="L29" s="18">
        <v>0.59589999999999999</v>
      </c>
      <c r="M29" s="22">
        <v>0.62397000000000002</v>
      </c>
      <c r="P29" s="21" t="s">
        <v>23</v>
      </c>
      <c r="Q29" s="11">
        <v>0.27155000000000001</v>
      </c>
      <c r="R29" s="16">
        <v>0.26812000000000002</v>
      </c>
      <c r="S29" s="5">
        <v>0.26556999999999997</v>
      </c>
      <c r="T29" s="16">
        <v>0.29648000000000002</v>
      </c>
      <c r="U29" s="16">
        <v>0.29420000000000002</v>
      </c>
      <c r="V29" s="16">
        <v>0.28560999999999998</v>
      </c>
      <c r="W29" s="6">
        <v>1.0382800000000001</v>
      </c>
      <c r="X29" s="18">
        <v>1.0330999999999999</v>
      </c>
      <c r="Y29" s="22">
        <v>1.0277400000000001</v>
      </c>
      <c r="AC29" s="21" t="s">
        <v>23</v>
      </c>
    </row>
    <row r="30" spans="4:29" x14ac:dyDescent="0.25">
      <c r="D30" s="21" t="s">
        <v>37</v>
      </c>
      <c r="E30" s="11">
        <v>0.24284</v>
      </c>
      <c r="F30" s="16">
        <v>0.24387</v>
      </c>
      <c r="G30" s="5">
        <v>0.23988999999999999</v>
      </c>
      <c r="H30" s="6">
        <v>0.25330999999999998</v>
      </c>
      <c r="I30" s="4">
        <v>0.25054999999999999</v>
      </c>
      <c r="J30" s="4">
        <v>0.24543000000000001</v>
      </c>
      <c r="K30" s="6">
        <v>0.91108</v>
      </c>
      <c r="L30" s="18">
        <v>0.89448000000000005</v>
      </c>
      <c r="M30" s="22">
        <v>0.90615999999999997</v>
      </c>
      <c r="P30" s="21" t="s">
        <v>37</v>
      </c>
      <c r="Q30" s="11">
        <v>0.22461</v>
      </c>
      <c r="R30" s="16">
        <v>0.22220999999999999</v>
      </c>
      <c r="S30" s="5">
        <v>0.22231999999999999</v>
      </c>
      <c r="T30" s="16">
        <v>0.23294999999999999</v>
      </c>
      <c r="U30" s="16">
        <v>0.23028000000000001</v>
      </c>
      <c r="V30" s="16">
        <v>0.22084999999999999</v>
      </c>
      <c r="W30" s="6">
        <v>0.89646999999999999</v>
      </c>
      <c r="X30" s="18">
        <v>0.88571999999999995</v>
      </c>
      <c r="Y30" s="22">
        <v>0.84999000000000002</v>
      </c>
      <c r="AC30" s="21" t="s">
        <v>37</v>
      </c>
    </row>
    <row r="31" spans="4:29" x14ac:dyDescent="0.25">
      <c r="D31" s="21" t="s">
        <v>36</v>
      </c>
      <c r="E31" s="11">
        <v>0.37433</v>
      </c>
      <c r="F31" s="16">
        <v>0.39243</v>
      </c>
      <c r="G31" s="5">
        <v>0.35178999999999999</v>
      </c>
      <c r="H31" s="6">
        <v>0.40084999999999998</v>
      </c>
      <c r="I31" s="4">
        <v>0.42724000000000001</v>
      </c>
      <c r="J31" s="4">
        <v>0.35858000000000001</v>
      </c>
      <c r="K31" s="6">
        <v>0.33984999999999999</v>
      </c>
      <c r="L31" s="18">
        <v>0.35072999999999999</v>
      </c>
      <c r="M31" s="22">
        <v>0.30186000000000002</v>
      </c>
      <c r="P31" s="21" t="s">
        <v>36</v>
      </c>
      <c r="Q31" s="11">
        <v>0.46729999999999999</v>
      </c>
      <c r="R31" s="16">
        <v>0.46443000000000001</v>
      </c>
      <c r="S31" s="5">
        <v>0.49854999999999999</v>
      </c>
      <c r="T31" s="16">
        <v>0.46096999999999999</v>
      </c>
      <c r="U31" s="16">
        <v>0.47069</v>
      </c>
      <c r="V31" s="16">
        <v>0.45727000000000001</v>
      </c>
      <c r="W31" s="6">
        <v>0.77659</v>
      </c>
      <c r="X31" s="18">
        <v>0.79715000000000003</v>
      </c>
      <c r="Y31" s="22">
        <v>0.77307999999999999</v>
      </c>
      <c r="AC31" s="21" t="s">
        <v>36</v>
      </c>
    </row>
    <row r="32" spans="4:29" x14ac:dyDescent="0.25">
      <c r="D32" s="21" t="s">
        <v>38</v>
      </c>
      <c r="E32" s="11">
        <v>1.0810299999999999</v>
      </c>
      <c r="F32" s="16">
        <v>1.04661</v>
      </c>
      <c r="G32" s="5">
        <v>0.93128999999999995</v>
      </c>
      <c r="H32" s="6">
        <v>0.55059000000000002</v>
      </c>
      <c r="I32" s="4">
        <v>0.54476999999999998</v>
      </c>
      <c r="J32" s="4">
        <v>0.50168000000000001</v>
      </c>
      <c r="K32" s="6">
        <v>0.29726999999999998</v>
      </c>
      <c r="L32" s="18">
        <v>0.31497000000000003</v>
      </c>
      <c r="M32" s="22">
        <v>0.23189000000000001</v>
      </c>
      <c r="P32" s="21" t="s">
        <v>38</v>
      </c>
      <c r="Q32" s="11">
        <v>0.49915999999999999</v>
      </c>
      <c r="R32" s="16">
        <v>0.48302</v>
      </c>
      <c r="S32" s="5">
        <v>0.42785000000000001</v>
      </c>
      <c r="T32" s="16">
        <v>0.41056999999999999</v>
      </c>
      <c r="U32" s="16">
        <v>0.40605000000000002</v>
      </c>
      <c r="V32" s="16">
        <v>0.39318999999999998</v>
      </c>
      <c r="W32" s="6">
        <v>0.62082000000000004</v>
      </c>
      <c r="X32" s="18">
        <v>0.62849999999999995</v>
      </c>
      <c r="Y32" s="22">
        <v>0.61826000000000003</v>
      </c>
      <c r="AC32" s="21" t="s">
        <v>38</v>
      </c>
    </row>
    <row r="33" spans="4:29" x14ac:dyDescent="0.25">
      <c r="D33" s="21" t="s">
        <v>24</v>
      </c>
      <c r="E33" s="11">
        <v>1.1190199999999999</v>
      </c>
      <c r="F33" s="16">
        <v>1.0689</v>
      </c>
      <c r="G33" s="5">
        <v>1.1117600000000001</v>
      </c>
      <c r="H33" s="6">
        <v>0.33406000000000002</v>
      </c>
      <c r="I33" s="4">
        <v>0.32976</v>
      </c>
      <c r="J33" s="4">
        <v>0.31973000000000001</v>
      </c>
      <c r="K33" s="6">
        <v>0.44832</v>
      </c>
      <c r="L33" s="18">
        <v>0.43278</v>
      </c>
      <c r="M33" s="22">
        <v>0.39439999999999997</v>
      </c>
      <c r="P33" s="21" t="s">
        <v>24</v>
      </c>
      <c r="Q33" s="11">
        <v>0.20785999999999999</v>
      </c>
      <c r="R33" s="16">
        <v>0.19975000000000001</v>
      </c>
      <c r="S33" s="5">
        <v>0.20011999999999999</v>
      </c>
      <c r="T33" s="16">
        <v>0.21392</v>
      </c>
      <c r="U33" s="16">
        <v>0.20566999999999999</v>
      </c>
      <c r="V33" s="16">
        <v>0.20211999999999999</v>
      </c>
      <c r="W33" s="6">
        <v>0.51293999999999995</v>
      </c>
      <c r="X33" s="18">
        <v>0.49811</v>
      </c>
      <c r="Y33" s="22">
        <v>0.47659000000000001</v>
      </c>
      <c r="AC33" s="21" t="s">
        <v>24</v>
      </c>
    </row>
    <row r="34" spans="4:29" x14ac:dyDescent="0.25">
      <c r="D34" s="21" t="s">
        <v>25</v>
      </c>
      <c r="E34" s="11">
        <v>0.2319</v>
      </c>
      <c r="F34" s="16">
        <v>0.20744000000000001</v>
      </c>
      <c r="G34" s="5">
        <v>0.2016</v>
      </c>
      <c r="H34" s="6">
        <v>0.19744</v>
      </c>
      <c r="I34" s="4">
        <v>0.17868999999999999</v>
      </c>
      <c r="J34" s="4">
        <v>0.17706</v>
      </c>
      <c r="K34" s="6">
        <v>0.69130999999999998</v>
      </c>
      <c r="L34" s="18">
        <v>0.62155000000000005</v>
      </c>
      <c r="M34" s="22">
        <v>0.67371999999999999</v>
      </c>
      <c r="P34" s="21" t="s">
        <v>25</v>
      </c>
      <c r="Q34" s="11">
        <v>0.22756000000000001</v>
      </c>
      <c r="R34" s="16">
        <v>0.2263</v>
      </c>
      <c r="S34" s="5">
        <v>0.22548000000000001</v>
      </c>
      <c r="T34" s="16">
        <v>0.20522000000000001</v>
      </c>
      <c r="U34" s="16">
        <v>0.20463000000000001</v>
      </c>
      <c r="V34" s="16">
        <v>0.20993999999999999</v>
      </c>
      <c r="W34" s="6">
        <v>0.76900000000000002</v>
      </c>
      <c r="X34" s="18">
        <v>0.77034999999999998</v>
      </c>
      <c r="Y34" s="22">
        <v>0.79273000000000005</v>
      </c>
      <c r="AC34" s="21" t="s">
        <v>25</v>
      </c>
    </row>
    <row r="35" spans="4:29" x14ac:dyDescent="0.25">
      <c r="D35" s="21" t="s">
        <v>45</v>
      </c>
      <c r="E35" s="11">
        <v>0.24937000000000001</v>
      </c>
      <c r="F35" s="16">
        <v>0.23055999999999999</v>
      </c>
      <c r="G35" s="5">
        <v>0.22059999999999999</v>
      </c>
      <c r="H35" s="6">
        <v>0.27379999999999999</v>
      </c>
      <c r="I35" s="4">
        <v>0.25822000000000001</v>
      </c>
      <c r="J35" s="4">
        <v>0.24861</v>
      </c>
      <c r="K35" s="6">
        <v>0.82950000000000002</v>
      </c>
      <c r="L35" s="18">
        <v>0.75351999999999997</v>
      </c>
      <c r="M35" s="22">
        <v>0.70162999999999998</v>
      </c>
      <c r="P35" s="21" t="s">
        <v>45</v>
      </c>
      <c r="Q35" s="11">
        <v>0.31818000000000002</v>
      </c>
      <c r="R35" s="16">
        <v>0.32345000000000002</v>
      </c>
      <c r="S35" s="5">
        <v>0.29480000000000001</v>
      </c>
      <c r="T35" s="16">
        <v>0.27334999999999998</v>
      </c>
      <c r="U35" s="16">
        <v>0.27973999999999999</v>
      </c>
      <c r="V35" s="16">
        <v>0.26194000000000001</v>
      </c>
      <c r="W35" s="6">
        <v>0.58228999999999997</v>
      </c>
      <c r="X35" s="18">
        <v>0.59026000000000001</v>
      </c>
      <c r="Y35" s="22">
        <v>0.53283999999999998</v>
      </c>
      <c r="AC35" s="21" t="s">
        <v>45</v>
      </c>
    </row>
    <row r="36" spans="4:29" x14ac:dyDescent="0.25">
      <c r="D36" s="21" t="s">
        <v>26</v>
      </c>
      <c r="E36" s="11">
        <v>0.1648</v>
      </c>
      <c r="F36" s="16">
        <v>0.16128999999999999</v>
      </c>
      <c r="G36" s="5">
        <v>0.14829000000000001</v>
      </c>
      <c r="H36" s="6">
        <v>0.15053</v>
      </c>
      <c r="I36" s="4">
        <v>0.14785999999999999</v>
      </c>
      <c r="J36" s="4">
        <v>0.13822000000000001</v>
      </c>
      <c r="K36" s="6">
        <v>0.37247999999999998</v>
      </c>
      <c r="L36" s="18">
        <v>0.36936000000000002</v>
      </c>
      <c r="M36" s="22">
        <v>0.35286000000000001</v>
      </c>
      <c r="P36" s="21" t="s">
        <v>26</v>
      </c>
      <c r="Q36" s="11">
        <v>0.28583999999999998</v>
      </c>
      <c r="R36" s="16">
        <v>0.29519000000000001</v>
      </c>
      <c r="S36" s="5">
        <v>0.27173000000000003</v>
      </c>
      <c r="T36" s="16">
        <v>0.24343999999999999</v>
      </c>
      <c r="U36" s="16">
        <v>0.25264999999999999</v>
      </c>
      <c r="V36" s="16">
        <v>0.2414</v>
      </c>
      <c r="W36" s="6">
        <v>0.63948000000000005</v>
      </c>
      <c r="X36" s="18">
        <v>0.66415000000000002</v>
      </c>
      <c r="Y36" s="22">
        <v>0.61821000000000004</v>
      </c>
      <c r="AC36" s="21" t="s">
        <v>26</v>
      </c>
    </row>
    <row r="37" spans="4:29" x14ac:dyDescent="0.25">
      <c r="D37" s="21" t="s">
        <v>27</v>
      </c>
      <c r="E37" s="11">
        <v>0.27328999999999998</v>
      </c>
      <c r="F37" s="16">
        <v>0.29013</v>
      </c>
      <c r="G37" s="5">
        <v>0.22534000000000001</v>
      </c>
      <c r="H37" s="6">
        <v>0.25475999999999999</v>
      </c>
      <c r="I37" s="4">
        <v>0.26524999999999999</v>
      </c>
      <c r="J37" s="4">
        <v>0.23283000000000001</v>
      </c>
      <c r="K37" s="6">
        <v>0.46865000000000001</v>
      </c>
      <c r="L37" s="18">
        <v>0.46732000000000001</v>
      </c>
      <c r="M37" s="22">
        <v>0.39742</v>
      </c>
      <c r="P37" s="21" t="s">
        <v>27</v>
      </c>
      <c r="Q37" s="11">
        <v>0.31842999999999999</v>
      </c>
      <c r="R37" s="16">
        <v>0.30274000000000001</v>
      </c>
      <c r="S37" s="5">
        <v>0.27904000000000001</v>
      </c>
      <c r="T37" s="16">
        <v>0.26578000000000002</v>
      </c>
      <c r="U37" s="16">
        <v>0.26030999999999999</v>
      </c>
      <c r="V37" s="16">
        <v>0.25853999999999999</v>
      </c>
      <c r="W37" s="6">
        <v>0.66615999999999997</v>
      </c>
      <c r="X37" s="18">
        <v>0.69993000000000005</v>
      </c>
      <c r="Y37" s="22">
        <v>0.63936000000000004</v>
      </c>
      <c r="AC37" s="21" t="s">
        <v>27</v>
      </c>
    </row>
    <row r="38" spans="4:29" x14ac:dyDescent="0.25">
      <c r="D38" s="21" t="s">
        <v>28</v>
      </c>
      <c r="E38" s="11">
        <v>0.31331999999999999</v>
      </c>
      <c r="F38" s="16">
        <v>0.31435999999999997</v>
      </c>
      <c r="G38" s="5">
        <v>0.31278</v>
      </c>
      <c r="H38" s="6">
        <v>0.38790000000000002</v>
      </c>
      <c r="I38" s="4">
        <v>0.39229999999999998</v>
      </c>
      <c r="J38" s="4">
        <v>0.39656000000000002</v>
      </c>
      <c r="K38" s="6">
        <v>1.2095800000000001</v>
      </c>
      <c r="L38" s="18">
        <v>1.2447900000000001</v>
      </c>
      <c r="M38" s="22">
        <v>1.2537799999999999</v>
      </c>
      <c r="P38" s="21" t="s">
        <v>28</v>
      </c>
      <c r="Q38" s="11">
        <v>0.28364</v>
      </c>
      <c r="R38" s="16">
        <v>0.29611999999999999</v>
      </c>
      <c r="S38" s="5">
        <v>0.27500000000000002</v>
      </c>
      <c r="T38" s="16">
        <v>0.25518000000000002</v>
      </c>
      <c r="U38" s="16">
        <v>0.26157000000000002</v>
      </c>
      <c r="V38" s="16">
        <v>0.25701000000000002</v>
      </c>
      <c r="W38" s="6">
        <v>0.32939000000000002</v>
      </c>
      <c r="X38" s="18">
        <v>0.33456999999999998</v>
      </c>
      <c r="Y38" s="22">
        <v>0.32950000000000002</v>
      </c>
      <c r="AC38" s="21" t="s">
        <v>28</v>
      </c>
    </row>
    <row r="39" spans="4:29" x14ac:dyDescent="0.25">
      <c r="D39" s="21" t="s">
        <v>39</v>
      </c>
      <c r="E39" s="11">
        <v>0.39126</v>
      </c>
      <c r="F39" s="16">
        <v>0.39289000000000002</v>
      </c>
      <c r="G39" s="5">
        <v>0.36020000000000002</v>
      </c>
      <c r="H39" s="6">
        <v>0.50538000000000005</v>
      </c>
      <c r="I39" s="4">
        <v>0.50422</v>
      </c>
      <c r="J39" s="4">
        <v>0.47083000000000003</v>
      </c>
      <c r="K39" s="6">
        <v>1.35592</v>
      </c>
      <c r="L39" s="18">
        <v>1.3578300000000001</v>
      </c>
      <c r="M39" s="22">
        <v>1.2730399999999999</v>
      </c>
      <c r="P39" s="21" t="s">
        <v>39</v>
      </c>
      <c r="Q39" s="11">
        <v>0.4234</v>
      </c>
      <c r="R39" s="16">
        <v>0.41838999999999998</v>
      </c>
      <c r="S39" s="5">
        <v>0.41961999999999999</v>
      </c>
      <c r="T39" s="16">
        <v>0.38740999999999998</v>
      </c>
      <c r="U39" s="16">
        <v>0.38435999999999998</v>
      </c>
      <c r="V39" s="16">
        <v>0.38407999999999998</v>
      </c>
      <c r="W39" s="6">
        <v>0.97141</v>
      </c>
      <c r="X39" s="18">
        <v>0.96316000000000002</v>
      </c>
      <c r="Y39" s="22">
        <v>0.96314</v>
      </c>
      <c r="AC39" s="21" t="s">
        <v>39</v>
      </c>
    </row>
    <row r="40" spans="4:29" x14ac:dyDescent="0.25">
      <c r="D40" s="23" t="s">
        <v>40</v>
      </c>
      <c r="E40" s="12">
        <v>0.42674000000000001</v>
      </c>
      <c r="F40" s="17">
        <v>0.41354000000000002</v>
      </c>
      <c r="G40" s="13">
        <v>0.43092999999999998</v>
      </c>
      <c r="H40" s="14">
        <v>0.57972999999999997</v>
      </c>
      <c r="I40" s="4">
        <v>0.55586000000000002</v>
      </c>
      <c r="J40" s="4">
        <v>0.57355999999999996</v>
      </c>
      <c r="K40" s="14">
        <v>0.78756000000000004</v>
      </c>
      <c r="L40" s="45">
        <v>0.74987999999999999</v>
      </c>
      <c r="M40" s="24">
        <v>0.76544999999999996</v>
      </c>
      <c r="P40" s="23" t="s">
        <v>40</v>
      </c>
      <c r="Q40" s="12">
        <v>0.45812000000000003</v>
      </c>
      <c r="R40" s="17">
        <v>0.45432</v>
      </c>
      <c r="S40" s="13">
        <v>0.46550000000000002</v>
      </c>
      <c r="T40" s="17">
        <v>0.47121000000000002</v>
      </c>
      <c r="U40" s="17">
        <v>0.47169</v>
      </c>
      <c r="V40" s="17">
        <v>0.47310999999999998</v>
      </c>
      <c r="W40" s="14">
        <v>0.43558000000000002</v>
      </c>
      <c r="X40" s="45">
        <v>0.43241000000000002</v>
      </c>
      <c r="Y40" s="24">
        <v>0.42825000000000002</v>
      </c>
      <c r="AC40" s="23" t="s">
        <v>40</v>
      </c>
    </row>
    <row r="41" spans="4:29" x14ac:dyDescent="0.25">
      <c r="E41" s="7">
        <f>AVERAGE(E26:E40)</f>
        <v>0.41665266666666667</v>
      </c>
      <c r="F41" s="7">
        <f t="shared" ref="F41:G41" si="0">AVERAGE(F26:F40)</f>
        <v>0.40600666666666668</v>
      </c>
      <c r="G41" s="7">
        <f t="shared" si="0"/>
        <v>0.39111133333333331</v>
      </c>
      <c r="H41" s="7">
        <v>0.36682533333333328</v>
      </c>
      <c r="I41" s="4">
        <v>0.36010799999999998</v>
      </c>
      <c r="J41" s="4">
        <v>0.34628133333333333</v>
      </c>
      <c r="K41" s="7">
        <f t="shared" ref="K41:M41" si="1">AVERAGE(K26:K40)</f>
        <v>0.82571733333333341</v>
      </c>
      <c r="L41" s="7">
        <f t="shared" si="1"/>
        <v>0.8096766666666666</v>
      </c>
      <c r="M41" s="7">
        <f t="shared" si="1"/>
        <v>0.79508866666666667</v>
      </c>
      <c r="Q41" s="7">
        <f>AVERAGE(Q26:Q40)</f>
        <v>0.34385666666666664</v>
      </c>
      <c r="R41" s="7">
        <f t="shared" ref="R41:Y41" si="2">AVERAGE(R26:R40)</f>
        <v>0.34282266666666666</v>
      </c>
      <c r="S41" s="7">
        <f t="shared" si="2"/>
        <v>0.33485333333333334</v>
      </c>
      <c r="T41" s="7">
        <f t="shared" si="2"/>
        <v>0.30649533333333334</v>
      </c>
      <c r="U41" s="7">
        <f t="shared" si="2"/>
        <v>0.30743999999999994</v>
      </c>
      <c r="V41" s="7">
        <f t="shared" si="2"/>
        <v>0.29907666666666671</v>
      </c>
      <c r="W41" s="7">
        <f t="shared" si="2"/>
        <v>0.67663200000000001</v>
      </c>
      <c r="X41" s="7">
        <f t="shared" si="2"/>
        <v>0.68219066666666661</v>
      </c>
      <c r="Y41" s="7">
        <f t="shared" si="2"/>
        <v>0.66151266666666664</v>
      </c>
    </row>
    <row r="42" spans="4:29" x14ac:dyDescent="0.25">
      <c r="D42" s="19" t="s">
        <v>41</v>
      </c>
      <c r="E42" s="174" t="s">
        <v>10</v>
      </c>
      <c r="F42" s="174"/>
      <c r="G42" s="174"/>
      <c r="H42" s="174" t="s">
        <v>11</v>
      </c>
      <c r="I42" s="174"/>
      <c r="J42" s="174"/>
      <c r="K42" s="174" t="s">
        <v>1</v>
      </c>
      <c r="L42" s="174"/>
      <c r="M42" s="174"/>
      <c r="P42" s="19" t="s">
        <v>34</v>
      </c>
      <c r="Q42" s="174" t="s">
        <v>10</v>
      </c>
      <c r="R42" s="174"/>
      <c r="S42" s="174"/>
      <c r="T42" s="174" t="s">
        <v>11</v>
      </c>
      <c r="U42" s="174"/>
      <c r="V42" s="174"/>
      <c r="W42" s="174" t="s">
        <v>1</v>
      </c>
      <c r="X42" s="174"/>
      <c r="Y42" s="174"/>
      <c r="AC42" s="19" t="s">
        <v>34</v>
      </c>
    </row>
    <row r="43" spans="4:29" ht="25.5" x14ac:dyDescent="0.25">
      <c r="D43" s="20" t="s">
        <v>29</v>
      </c>
      <c r="E43" s="8" t="s">
        <v>31</v>
      </c>
      <c r="F43" s="15" t="s">
        <v>32</v>
      </c>
      <c r="G43" s="9" t="s">
        <v>6</v>
      </c>
      <c r="H43" s="8" t="s">
        <v>31</v>
      </c>
      <c r="I43" s="15" t="s">
        <v>32</v>
      </c>
      <c r="J43" s="9" t="s">
        <v>6</v>
      </c>
      <c r="K43" s="8" t="s">
        <v>31</v>
      </c>
      <c r="L43" s="15" t="s">
        <v>32</v>
      </c>
      <c r="M43" s="15" t="s">
        <v>6</v>
      </c>
      <c r="P43" s="20" t="s">
        <v>29</v>
      </c>
      <c r="Q43" s="8" t="s">
        <v>31</v>
      </c>
      <c r="R43" s="15" t="s">
        <v>32</v>
      </c>
      <c r="S43" s="9" t="s">
        <v>6</v>
      </c>
      <c r="T43" s="8" t="s">
        <v>31</v>
      </c>
      <c r="U43" s="15" t="s">
        <v>32</v>
      </c>
      <c r="V43" s="9" t="s">
        <v>6</v>
      </c>
      <c r="W43" s="8" t="s">
        <v>31</v>
      </c>
      <c r="X43" s="15" t="s">
        <v>32</v>
      </c>
      <c r="Y43" s="15" t="s">
        <v>6</v>
      </c>
      <c r="AC43" s="20" t="s">
        <v>29</v>
      </c>
    </row>
    <row r="44" spans="4:29" x14ac:dyDescent="0.25">
      <c r="D44" s="21" t="s">
        <v>20</v>
      </c>
      <c r="E44" s="11">
        <v>0.26057000000000002</v>
      </c>
      <c r="F44" s="16">
        <v>0.26172000000000001</v>
      </c>
      <c r="G44" s="5">
        <v>0.27374999999999999</v>
      </c>
      <c r="H44" s="6">
        <v>0.23102</v>
      </c>
      <c r="I44" s="4">
        <v>0.23147999999999999</v>
      </c>
      <c r="J44" s="4">
        <v>0.24303</v>
      </c>
      <c r="K44" s="6">
        <v>0.67444999999999999</v>
      </c>
      <c r="L44" s="18">
        <v>0.67847999999999997</v>
      </c>
      <c r="M44" s="22">
        <v>0.69467000000000001</v>
      </c>
      <c r="P44" s="21" t="s">
        <v>20</v>
      </c>
      <c r="Q44" s="11">
        <v>0.22469</v>
      </c>
      <c r="R44" s="16">
        <v>0.22463</v>
      </c>
      <c r="S44" s="5">
        <v>0.21454000000000001</v>
      </c>
      <c r="T44" s="16">
        <v>0.2288</v>
      </c>
      <c r="U44" s="5">
        <v>0.22889000000000001</v>
      </c>
      <c r="V44" s="16">
        <v>0.21919</v>
      </c>
      <c r="W44" s="6">
        <v>0.8125</v>
      </c>
      <c r="X44" s="18">
        <v>0.81313000000000002</v>
      </c>
      <c r="Y44" s="22">
        <v>0.78266000000000002</v>
      </c>
      <c r="AC44" s="21" t="s">
        <v>20</v>
      </c>
    </row>
    <row r="45" spans="4:29" x14ac:dyDescent="0.25">
      <c r="D45" s="21" t="s">
        <v>21</v>
      </c>
      <c r="E45" s="11">
        <v>0.53341000000000005</v>
      </c>
      <c r="F45" s="16">
        <v>0.51888000000000001</v>
      </c>
      <c r="G45" s="5">
        <v>0.51637999999999995</v>
      </c>
      <c r="H45" s="6">
        <v>0.53734999999999999</v>
      </c>
      <c r="I45" s="4">
        <v>0.52964999999999995</v>
      </c>
      <c r="J45" s="4">
        <v>0.49352000000000001</v>
      </c>
      <c r="K45" s="6">
        <v>1.2640899999999999</v>
      </c>
      <c r="L45" s="18">
        <v>1.25759</v>
      </c>
      <c r="M45" s="22">
        <v>1.25302</v>
      </c>
      <c r="P45" s="21" t="s">
        <v>21</v>
      </c>
      <c r="Q45" s="11">
        <v>0.44836999999999999</v>
      </c>
      <c r="R45" s="16">
        <v>0.43874000000000002</v>
      </c>
      <c r="S45" s="5">
        <v>0.48037999999999997</v>
      </c>
      <c r="T45" s="16">
        <v>0.37231999999999998</v>
      </c>
      <c r="U45" s="5">
        <v>0.36814999999999998</v>
      </c>
      <c r="V45" s="16">
        <v>0.34610000000000002</v>
      </c>
      <c r="W45" s="6">
        <v>0.54054000000000002</v>
      </c>
      <c r="X45" s="18">
        <v>0.54451000000000005</v>
      </c>
      <c r="Y45" s="22">
        <v>0.54354000000000002</v>
      </c>
      <c r="AC45" s="21" t="s">
        <v>21</v>
      </c>
    </row>
    <row r="46" spans="4:29" x14ac:dyDescent="0.25">
      <c r="D46" s="21" t="s">
        <v>22</v>
      </c>
      <c r="E46" s="11">
        <v>0.31890000000000002</v>
      </c>
      <c r="F46" s="16">
        <v>0.31869999999999998</v>
      </c>
      <c r="G46" s="5">
        <v>0.31179000000000001</v>
      </c>
      <c r="H46" s="6">
        <v>0.34411999999999998</v>
      </c>
      <c r="I46" s="4">
        <v>0.35191</v>
      </c>
      <c r="J46" s="4">
        <v>0.33803</v>
      </c>
      <c r="K46" s="6">
        <v>0.64093</v>
      </c>
      <c r="L46" s="18">
        <v>0.64202999999999999</v>
      </c>
      <c r="M46" s="22">
        <v>0.63473000000000002</v>
      </c>
      <c r="P46" s="21" t="s">
        <v>22</v>
      </c>
      <c r="Q46" s="11">
        <v>0.30670999999999998</v>
      </c>
      <c r="R46" s="16">
        <v>0.30553999999999998</v>
      </c>
      <c r="S46" s="5">
        <v>0.29607</v>
      </c>
      <c r="T46" s="16">
        <v>0.30380000000000001</v>
      </c>
      <c r="U46" s="5">
        <v>0.30851000000000001</v>
      </c>
      <c r="V46" s="16">
        <v>0.29921999999999999</v>
      </c>
      <c r="W46" s="6">
        <v>0.63175999999999999</v>
      </c>
      <c r="X46" s="18">
        <v>0.63070000000000004</v>
      </c>
      <c r="Y46" s="22">
        <v>0.61370999999999998</v>
      </c>
      <c r="AC46" s="21" t="s">
        <v>22</v>
      </c>
    </row>
    <row r="47" spans="4:29" x14ac:dyDescent="0.25">
      <c r="D47" s="21" t="s">
        <v>23</v>
      </c>
      <c r="E47" s="11">
        <v>0.26983000000000001</v>
      </c>
      <c r="F47" s="16">
        <v>0.26962000000000003</v>
      </c>
      <c r="G47" s="5">
        <v>0.25714999999999999</v>
      </c>
      <c r="H47" s="6">
        <v>0.29407</v>
      </c>
      <c r="I47" s="4">
        <v>0.29010999999999998</v>
      </c>
      <c r="J47" s="4">
        <v>0.27444000000000002</v>
      </c>
      <c r="K47" s="6">
        <v>0.54374999999999996</v>
      </c>
      <c r="L47" s="18">
        <v>0.53093999999999997</v>
      </c>
      <c r="M47" s="22">
        <v>0.53029999999999999</v>
      </c>
      <c r="P47" s="21" t="s">
        <v>23</v>
      </c>
      <c r="Q47" s="11">
        <v>0.28299999999999997</v>
      </c>
      <c r="R47" s="16">
        <v>0.28134999999999999</v>
      </c>
      <c r="S47" s="5">
        <v>0.27893000000000001</v>
      </c>
      <c r="T47" s="16">
        <v>0.30623</v>
      </c>
      <c r="U47" s="5">
        <v>0.30513000000000001</v>
      </c>
      <c r="V47" s="16">
        <v>0.29748999999999998</v>
      </c>
      <c r="W47" s="6">
        <v>0.66525000000000001</v>
      </c>
      <c r="X47" s="18">
        <v>0.66571999999999998</v>
      </c>
      <c r="Y47" s="22">
        <v>0.65571000000000002</v>
      </c>
      <c r="AC47" s="21" t="s">
        <v>23</v>
      </c>
    </row>
    <row r="48" spans="4:29" x14ac:dyDescent="0.25">
      <c r="D48" s="21" t="s">
        <v>37</v>
      </c>
      <c r="E48" s="11">
        <v>0.30897000000000002</v>
      </c>
      <c r="F48" s="16">
        <v>0.31070999999999999</v>
      </c>
      <c r="G48" s="5">
        <v>0.31433</v>
      </c>
      <c r="H48" s="6">
        <v>0.27925</v>
      </c>
      <c r="I48" s="4">
        <v>0.27722999999999998</v>
      </c>
      <c r="J48" s="4">
        <v>0.27911000000000002</v>
      </c>
      <c r="K48" s="6">
        <v>0.87331999999999999</v>
      </c>
      <c r="L48" s="18">
        <v>0.87272000000000005</v>
      </c>
      <c r="M48" s="22">
        <v>0.88873000000000002</v>
      </c>
      <c r="P48" s="21" t="s">
        <v>37</v>
      </c>
      <c r="Q48" s="11">
        <v>0.23683999999999999</v>
      </c>
      <c r="R48" s="16">
        <v>0.23286000000000001</v>
      </c>
      <c r="S48" s="5">
        <v>0.23044000000000001</v>
      </c>
      <c r="T48" s="16">
        <v>0.24651000000000001</v>
      </c>
      <c r="U48" s="5">
        <v>0.24149000000000001</v>
      </c>
      <c r="V48" s="16">
        <v>0.23069999999999999</v>
      </c>
      <c r="W48" s="6">
        <v>0.93625999999999998</v>
      </c>
      <c r="X48" s="18">
        <v>0.91698999999999997</v>
      </c>
      <c r="Y48" s="22">
        <v>0.87802999999999998</v>
      </c>
      <c r="AC48" s="21" t="s">
        <v>37</v>
      </c>
    </row>
    <row r="49" spans="4:38" x14ac:dyDescent="0.25">
      <c r="D49" s="21" t="s">
        <v>36</v>
      </c>
      <c r="E49" s="11">
        <v>0.34788000000000002</v>
      </c>
      <c r="F49" s="16">
        <v>0.37381999999999999</v>
      </c>
      <c r="G49" s="5">
        <v>0.34759000000000001</v>
      </c>
      <c r="H49" s="6">
        <v>0.40667999999999999</v>
      </c>
      <c r="I49" s="4">
        <v>0.44102000000000002</v>
      </c>
      <c r="J49" s="4">
        <v>0.38578000000000001</v>
      </c>
      <c r="K49" s="6">
        <v>0.36401</v>
      </c>
      <c r="L49" s="18">
        <v>0.42103000000000002</v>
      </c>
      <c r="M49" s="22">
        <v>0.33122000000000001</v>
      </c>
      <c r="P49" s="21" t="s">
        <v>36</v>
      </c>
      <c r="Q49" s="11">
        <v>0.43957000000000002</v>
      </c>
      <c r="R49" s="16">
        <v>0.43514999999999998</v>
      </c>
      <c r="S49" s="5">
        <v>0.46328999999999998</v>
      </c>
      <c r="T49" s="16">
        <v>0.45162000000000002</v>
      </c>
      <c r="U49" s="5">
        <v>0.46092</v>
      </c>
      <c r="V49" s="16">
        <v>0.44757000000000002</v>
      </c>
      <c r="W49" s="6">
        <v>0.77951000000000004</v>
      </c>
      <c r="X49" s="18">
        <v>0.79590000000000005</v>
      </c>
      <c r="Y49" s="22">
        <v>0.77637</v>
      </c>
      <c r="AC49" s="21" t="s">
        <v>36</v>
      </c>
    </row>
    <row r="50" spans="4:38" x14ac:dyDescent="0.25">
      <c r="D50" s="21" t="s">
        <v>38</v>
      </c>
      <c r="E50" s="11">
        <v>0.57616999999999996</v>
      </c>
      <c r="F50" s="16">
        <v>0.53388000000000002</v>
      </c>
      <c r="G50" s="5">
        <v>0.51188</v>
      </c>
      <c r="H50" s="6">
        <v>0.38639000000000001</v>
      </c>
      <c r="I50" s="4">
        <v>0.37031999999999998</v>
      </c>
      <c r="J50" s="4">
        <v>0.36846000000000001</v>
      </c>
      <c r="K50" s="6">
        <v>0.39319999999999999</v>
      </c>
      <c r="L50" s="18">
        <v>0.41909000000000002</v>
      </c>
      <c r="M50" s="22">
        <v>0.40858</v>
      </c>
      <c r="P50" s="21" t="s">
        <v>38</v>
      </c>
      <c r="Q50" s="11">
        <v>0.53078000000000003</v>
      </c>
      <c r="R50" s="16">
        <v>0.50288999999999995</v>
      </c>
      <c r="S50" s="5">
        <v>0.44442999999999999</v>
      </c>
      <c r="T50" s="16">
        <v>0.43274000000000001</v>
      </c>
      <c r="U50" s="5">
        <v>0.42466999999999999</v>
      </c>
      <c r="V50" s="16">
        <v>0.40490999999999999</v>
      </c>
      <c r="W50" s="6">
        <v>0.62624999999999997</v>
      </c>
      <c r="X50" s="18">
        <v>0.62877000000000005</v>
      </c>
      <c r="Y50" s="22">
        <v>0.61870000000000003</v>
      </c>
      <c r="AC50" s="21" t="s">
        <v>38</v>
      </c>
    </row>
    <row r="51" spans="4:38" x14ac:dyDescent="0.25">
      <c r="D51" s="21" t="s">
        <v>24</v>
      </c>
      <c r="E51" s="11">
        <v>0.49852000000000002</v>
      </c>
      <c r="F51" s="16">
        <v>0.47876999999999997</v>
      </c>
      <c r="G51" s="5">
        <v>0.49053999999999998</v>
      </c>
      <c r="H51" s="6">
        <v>0.28328999999999999</v>
      </c>
      <c r="I51" s="4">
        <v>0.27592</v>
      </c>
      <c r="J51" s="4">
        <v>0.27113999999999999</v>
      </c>
      <c r="K51" s="6">
        <v>0.51765000000000005</v>
      </c>
      <c r="L51" s="18">
        <v>0.50190999999999997</v>
      </c>
      <c r="M51" s="22">
        <v>0.48453000000000002</v>
      </c>
      <c r="P51" s="21" t="s">
        <v>24</v>
      </c>
      <c r="Q51" s="11">
        <v>0.20741000000000001</v>
      </c>
      <c r="R51" s="16">
        <v>0.20244000000000001</v>
      </c>
      <c r="S51" s="5">
        <v>0.19506999999999999</v>
      </c>
      <c r="T51" s="16">
        <v>0.22045999999999999</v>
      </c>
      <c r="U51" s="5">
        <v>0.21515999999999999</v>
      </c>
      <c r="V51" s="16">
        <v>0.20344000000000001</v>
      </c>
      <c r="W51" s="6">
        <v>0.54564000000000001</v>
      </c>
      <c r="X51" s="18">
        <v>0.53766000000000003</v>
      </c>
      <c r="Y51" s="22">
        <v>0.49609999999999999</v>
      </c>
      <c r="AC51" s="21" t="s">
        <v>24</v>
      </c>
    </row>
    <row r="52" spans="4:38" x14ac:dyDescent="0.25">
      <c r="D52" s="21" t="s">
        <v>25</v>
      </c>
      <c r="E52" s="11">
        <v>0.25763999999999998</v>
      </c>
      <c r="F52" s="16">
        <v>0.24348</v>
      </c>
      <c r="G52" s="5">
        <v>0.22894</v>
      </c>
      <c r="H52" s="6">
        <v>0.21013000000000001</v>
      </c>
      <c r="I52" s="4">
        <v>0.20118</v>
      </c>
      <c r="J52" s="4">
        <v>0.19331999999999999</v>
      </c>
      <c r="K52" s="6">
        <v>0.74824000000000002</v>
      </c>
      <c r="L52" s="18">
        <v>0.71106000000000003</v>
      </c>
      <c r="M52" s="22">
        <v>0.68933999999999995</v>
      </c>
      <c r="P52" s="21" t="s">
        <v>25</v>
      </c>
      <c r="Q52" s="11">
        <v>0.25594</v>
      </c>
      <c r="R52" s="16">
        <v>0.25617000000000001</v>
      </c>
      <c r="S52" s="5">
        <v>0.24776000000000001</v>
      </c>
      <c r="T52" s="16">
        <v>0.22342999999999999</v>
      </c>
      <c r="U52" s="5">
        <v>0.22417999999999999</v>
      </c>
      <c r="V52" s="16">
        <v>0.22323000000000001</v>
      </c>
      <c r="W52" s="6">
        <v>0.85145999999999999</v>
      </c>
      <c r="X52" s="18">
        <v>0.86151999999999995</v>
      </c>
      <c r="Y52" s="22">
        <v>0.86046999999999996</v>
      </c>
      <c r="AC52" s="21" t="s">
        <v>25</v>
      </c>
    </row>
    <row r="53" spans="4:38" x14ac:dyDescent="0.25">
      <c r="D53" s="21" t="s">
        <v>45</v>
      </c>
      <c r="E53" s="11">
        <v>0.30619000000000002</v>
      </c>
      <c r="F53" s="16">
        <v>0.29976000000000003</v>
      </c>
      <c r="G53" s="5">
        <v>0.28111000000000003</v>
      </c>
      <c r="H53" s="6">
        <v>0.34516999999999998</v>
      </c>
      <c r="I53" s="4">
        <v>0.34027000000000002</v>
      </c>
      <c r="J53" s="4">
        <v>0.32777000000000001</v>
      </c>
      <c r="K53" s="6">
        <v>1.03163</v>
      </c>
      <c r="L53" s="18">
        <v>1.0075799999999999</v>
      </c>
      <c r="M53" s="22">
        <v>0.96733999999999998</v>
      </c>
      <c r="P53" s="21" t="s">
        <v>45</v>
      </c>
      <c r="Q53" s="11">
        <v>0.38016</v>
      </c>
      <c r="R53" s="16">
        <v>0.38929999999999998</v>
      </c>
      <c r="S53" s="5">
        <v>0.33876000000000001</v>
      </c>
      <c r="T53" s="16">
        <v>0.30571999999999999</v>
      </c>
      <c r="U53" s="5">
        <v>0.31552000000000002</v>
      </c>
      <c r="V53" s="16">
        <v>0.27882000000000001</v>
      </c>
      <c r="W53" s="6">
        <v>0.67879</v>
      </c>
      <c r="X53" s="18">
        <v>0.69306999999999996</v>
      </c>
      <c r="Y53" s="22">
        <v>0.58140000000000003</v>
      </c>
      <c r="AC53" s="21" t="s">
        <v>45</v>
      </c>
    </row>
    <row r="54" spans="4:38" x14ac:dyDescent="0.25">
      <c r="D54" s="21" t="s">
        <v>26</v>
      </c>
      <c r="E54" s="11">
        <v>0.28633999999999998</v>
      </c>
      <c r="F54" s="16">
        <v>0.27790999999999999</v>
      </c>
      <c r="G54" s="5">
        <v>0.26494000000000001</v>
      </c>
      <c r="H54" s="6">
        <v>0.25966</v>
      </c>
      <c r="I54" s="4">
        <v>0.25306000000000001</v>
      </c>
      <c r="J54" s="4">
        <v>0.24693000000000001</v>
      </c>
      <c r="K54" s="6">
        <v>0.68925999999999998</v>
      </c>
      <c r="L54" s="18">
        <v>0.67681000000000002</v>
      </c>
      <c r="M54" s="22">
        <v>0.6573</v>
      </c>
      <c r="P54" s="21" t="s">
        <v>26</v>
      </c>
      <c r="Q54" s="11">
        <v>0.33051999999999998</v>
      </c>
      <c r="R54" s="16">
        <v>0.33878999999999998</v>
      </c>
      <c r="S54" s="5">
        <v>0.29948000000000002</v>
      </c>
      <c r="T54" s="16">
        <v>0.27112999999999998</v>
      </c>
      <c r="U54" s="5">
        <v>0.27594000000000002</v>
      </c>
      <c r="V54" s="16">
        <v>0.25640000000000002</v>
      </c>
      <c r="W54" s="6">
        <v>0.74002999999999997</v>
      </c>
      <c r="X54" s="18">
        <v>0.76141000000000003</v>
      </c>
      <c r="Y54" s="22">
        <v>0.67525999999999997</v>
      </c>
      <c r="AC54" s="21" t="s">
        <v>26</v>
      </c>
    </row>
    <row r="55" spans="4:38" x14ac:dyDescent="0.25">
      <c r="D55" s="21" t="s">
        <v>27</v>
      </c>
      <c r="E55" s="11">
        <v>0.26508999999999999</v>
      </c>
      <c r="F55" s="16">
        <v>0.26212999999999997</v>
      </c>
      <c r="G55" s="5">
        <v>0.23168</v>
      </c>
      <c r="H55" s="6">
        <v>0.24345</v>
      </c>
      <c r="I55" s="4">
        <v>0.25438</v>
      </c>
      <c r="J55" s="4">
        <v>0.23648</v>
      </c>
      <c r="K55" s="6">
        <v>0.47564000000000001</v>
      </c>
      <c r="L55" s="18">
        <v>0.46394000000000002</v>
      </c>
      <c r="M55" s="22">
        <v>0.42853999999999998</v>
      </c>
      <c r="P55" s="21" t="s">
        <v>27</v>
      </c>
      <c r="Q55" s="11">
        <v>0.33893000000000001</v>
      </c>
      <c r="R55" s="16">
        <v>0.31411</v>
      </c>
      <c r="S55" s="5">
        <v>0.28711999999999999</v>
      </c>
      <c r="T55" s="16">
        <v>0.27017999999999998</v>
      </c>
      <c r="U55" s="5">
        <v>0.26119999999999999</v>
      </c>
      <c r="V55" s="16">
        <v>0.25389</v>
      </c>
      <c r="W55" s="6">
        <v>0.66312000000000004</v>
      </c>
      <c r="X55" s="18">
        <v>0.68905000000000005</v>
      </c>
      <c r="Y55" s="22">
        <v>0.63</v>
      </c>
      <c r="AC55" s="21" t="s">
        <v>27</v>
      </c>
    </row>
    <row r="56" spans="4:38" x14ac:dyDescent="0.25">
      <c r="D56" s="21" t="s">
        <v>28</v>
      </c>
      <c r="E56" s="11">
        <v>0.36381000000000002</v>
      </c>
      <c r="F56" s="16">
        <v>0.35638999999999998</v>
      </c>
      <c r="G56" s="5">
        <v>0.35302</v>
      </c>
      <c r="H56" s="6">
        <v>0.35671999999999998</v>
      </c>
      <c r="I56" s="4">
        <v>0.35527999999999998</v>
      </c>
      <c r="J56" s="4">
        <v>0.35841000000000001</v>
      </c>
      <c r="K56" s="6">
        <v>0.70870999999999995</v>
      </c>
      <c r="L56" s="18">
        <v>0.71982000000000002</v>
      </c>
      <c r="M56" s="22">
        <v>0.72014</v>
      </c>
      <c r="P56" s="21" t="s">
        <v>28</v>
      </c>
      <c r="Q56" s="11">
        <v>0.30321999999999999</v>
      </c>
      <c r="R56" s="16">
        <v>0.31883</v>
      </c>
      <c r="S56" s="5">
        <v>0.28978999999999999</v>
      </c>
      <c r="T56" s="16">
        <v>0.26708999999999999</v>
      </c>
      <c r="U56" s="5">
        <v>0.27260000000000001</v>
      </c>
      <c r="V56" s="16">
        <v>0.26593</v>
      </c>
      <c r="W56" s="6">
        <v>0.34277000000000002</v>
      </c>
      <c r="X56" s="18">
        <v>0.34792000000000001</v>
      </c>
      <c r="Y56" s="22">
        <v>0.34497</v>
      </c>
      <c r="AC56" s="21" t="s">
        <v>28</v>
      </c>
    </row>
    <row r="57" spans="4:38" x14ac:dyDescent="0.25">
      <c r="D57" s="21" t="s">
        <v>39</v>
      </c>
      <c r="E57" s="11">
        <v>0.35013</v>
      </c>
      <c r="F57" s="16">
        <v>0.35013</v>
      </c>
      <c r="G57" s="5">
        <v>0.32057000000000002</v>
      </c>
      <c r="H57" s="6">
        <v>0.40919</v>
      </c>
      <c r="I57" s="4">
        <v>0.40797</v>
      </c>
      <c r="J57" s="4">
        <v>0.37535000000000002</v>
      </c>
      <c r="K57" s="6">
        <v>0.99356</v>
      </c>
      <c r="L57" s="18">
        <v>0.99409999999999998</v>
      </c>
      <c r="M57" s="22">
        <v>0.92798000000000003</v>
      </c>
      <c r="P57" s="21" t="s">
        <v>39</v>
      </c>
      <c r="Q57" s="11">
        <v>0.42927999999999999</v>
      </c>
      <c r="R57" s="16">
        <v>0.42742999999999998</v>
      </c>
      <c r="S57" s="5">
        <v>0.42813000000000001</v>
      </c>
      <c r="T57" s="16">
        <v>0.39372000000000001</v>
      </c>
      <c r="U57" s="5">
        <v>0.39245000000000002</v>
      </c>
      <c r="V57" s="16">
        <v>0.39073000000000002</v>
      </c>
      <c r="W57" s="6">
        <v>0.99702000000000002</v>
      </c>
      <c r="X57" s="18">
        <v>0.99451999999999996</v>
      </c>
      <c r="Y57" s="22">
        <v>0.99255000000000004</v>
      </c>
      <c r="AC57" s="21" t="s">
        <v>39</v>
      </c>
    </row>
    <row r="58" spans="4:38" x14ac:dyDescent="0.25">
      <c r="D58" s="23" t="s">
        <v>40</v>
      </c>
      <c r="E58" s="12">
        <v>0.56164999999999998</v>
      </c>
      <c r="F58" s="17">
        <v>0.55864999999999998</v>
      </c>
      <c r="G58" s="13">
        <v>0.59479000000000004</v>
      </c>
      <c r="H58" s="14">
        <v>0.58298000000000005</v>
      </c>
      <c r="I58" s="4">
        <v>0.58318000000000003</v>
      </c>
      <c r="J58" s="4">
        <v>0.59687000000000001</v>
      </c>
      <c r="K58" s="14">
        <v>0.61965000000000003</v>
      </c>
      <c r="L58" s="45">
        <v>0.60909999999999997</v>
      </c>
      <c r="M58" s="24">
        <v>0.61017999999999994</v>
      </c>
      <c r="P58" s="23" t="s">
        <v>40</v>
      </c>
      <c r="Q58" s="12">
        <v>0.46800000000000003</v>
      </c>
      <c r="R58" s="17">
        <v>0.45650000000000002</v>
      </c>
      <c r="S58" s="13">
        <v>0.4501</v>
      </c>
      <c r="T58" s="17">
        <v>0.47294999999999998</v>
      </c>
      <c r="U58" s="13">
        <v>0.46936</v>
      </c>
      <c r="V58" s="17">
        <v>0.45177</v>
      </c>
      <c r="W58" s="14">
        <v>0.44379000000000002</v>
      </c>
      <c r="X58" s="45">
        <v>0.44188</v>
      </c>
      <c r="Y58" s="24">
        <v>0.43051</v>
      </c>
      <c r="AC58" s="23" t="s">
        <v>40</v>
      </c>
    </row>
    <row r="59" spans="4:38" x14ac:dyDescent="0.25">
      <c r="E59" s="7">
        <f>AVERAGE(E44:E58)</f>
        <v>0.3670066666666667</v>
      </c>
      <c r="F59" s="7">
        <f t="shared" ref="F59:G59" si="3">AVERAGE(F44:F58)</f>
        <v>0.36096999999999996</v>
      </c>
      <c r="G59" s="7">
        <f t="shared" si="3"/>
        <v>0.35323066666666669</v>
      </c>
      <c r="H59" s="7">
        <v>0.34463133333333335</v>
      </c>
      <c r="I59" s="4">
        <v>0.34419733333333336</v>
      </c>
      <c r="J59" s="4">
        <v>0.33257599999999993</v>
      </c>
      <c r="K59" s="7">
        <f t="shared" ref="K59:M59" si="4">AVERAGE(K44:K58)</f>
        <v>0.7025393333333334</v>
      </c>
      <c r="L59" s="7">
        <f t="shared" si="4"/>
        <v>0.70041333333333333</v>
      </c>
      <c r="M59" s="7">
        <f t="shared" si="4"/>
        <v>0.68177333333333334</v>
      </c>
      <c r="Q59" s="7">
        <f>AVERAGE(Q44:Q58)</f>
        <v>0.34556133333333333</v>
      </c>
      <c r="R59" s="7">
        <f t="shared" ref="R59:Y59" si="5">AVERAGE(R44:R58)</f>
        <v>0.34164866666666671</v>
      </c>
      <c r="S59" s="7">
        <f t="shared" si="5"/>
        <v>0.32961933333333338</v>
      </c>
      <c r="T59" s="7">
        <f t="shared" si="5"/>
        <v>0.31777999999999995</v>
      </c>
      <c r="U59" s="7">
        <f t="shared" si="5"/>
        <v>0.31761133333333336</v>
      </c>
      <c r="V59" s="7">
        <f t="shared" si="5"/>
        <v>0.30462600000000001</v>
      </c>
      <c r="W59" s="7">
        <f t="shared" si="5"/>
        <v>0.68364599999999998</v>
      </c>
      <c r="X59" s="7">
        <f t="shared" si="5"/>
        <v>0.68818333333333315</v>
      </c>
      <c r="Y59" s="7">
        <f t="shared" si="5"/>
        <v>0.65866533333333332</v>
      </c>
    </row>
    <row r="60" spans="4:38" x14ac:dyDescent="0.25">
      <c r="D60" s="19" t="s">
        <v>43</v>
      </c>
      <c r="E60" s="174" t="s">
        <v>10</v>
      </c>
      <c r="F60" s="174"/>
      <c r="G60" s="174"/>
      <c r="H60" s="174" t="s">
        <v>11</v>
      </c>
      <c r="I60" s="174"/>
      <c r="J60" s="174"/>
      <c r="K60" s="174" t="s">
        <v>1</v>
      </c>
      <c r="L60" s="174"/>
      <c r="M60" s="174"/>
      <c r="P60" s="19" t="s">
        <v>35</v>
      </c>
      <c r="Q60" s="174" t="s">
        <v>10</v>
      </c>
      <c r="R60" s="174"/>
      <c r="S60" s="174"/>
      <c r="T60" s="174" t="s">
        <v>11</v>
      </c>
      <c r="U60" s="174"/>
      <c r="V60" s="174"/>
      <c r="W60" s="174" t="s">
        <v>1</v>
      </c>
      <c r="X60" s="174"/>
      <c r="Y60" s="174"/>
      <c r="AC60" s="19" t="s">
        <v>35</v>
      </c>
    </row>
    <row r="61" spans="4:38" ht="25.5" x14ac:dyDescent="0.25">
      <c r="D61" s="20" t="s">
        <v>29</v>
      </c>
      <c r="E61" s="8" t="s">
        <v>31</v>
      </c>
      <c r="F61" s="15" t="s">
        <v>32</v>
      </c>
      <c r="G61" s="9" t="s">
        <v>6</v>
      </c>
      <c r="H61" s="8" t="s">
        <v>31</v>
      </c>
      <c r="I61" s="15" t="s">
        <v>32</v>
      </c>
      <c r="J61" s="9" t="s">
        <v>6</v>
      </c>
      <c r="K61" s="8" t="s">
        <v>31</v>
      </c>
      <c r="L61" s="15" t="s">
        <v>32</v>
      </c>
      <c r="M61" s="15" t="s">
        <v>6</v>
      </c>
      <c r="P61" s="20" t="s">
        <v>29</v>
      </c>
      <c r="Q61" s="8" t="s">
        <v>31</v>
      </c>
      <c r="R61" s="15" t="s">
        <v>32</v>
      </c>
      <c r="S61" s="9" t="s">
        <v>6</v>
      </c>
      <c r="T61" s="8" t="s">
        <v>31</v>
      </c>
      <c r="U61" s="15" t="s">
        <v>32</v>
      </c>
      <c r="V61" s="9" t="s">
        <v>6</v>
      </c>
      <c r="W61" s="8" t="s">
        <v>31</v>
      </c>
      <c r="X61" s="15" t="s">
        <v>32</v>
      </c>
      <c r="Y61" s="15" t="s">
        <v>6</v>
      </c>
      <c r="AC61" s="20" t="s">
        <v>29</v>
      </c>
      <c r="AD61" s="8" t="s">
        <v>31</v>
      </c>
      <c r="AE61" s="15" t="s">
        <v>32</v>
      </c>
      <c r="AF61" s="9" t="s">
        <v>6</v>
      </c>
      <c r="AG61" s="8" t="s">
        <v>31</v>
      </c>
      <c r="AH61" s="15" t="s">
        <v>32</v>
      </c>
      <c r="AI61" s="9" t="s">
        <v>6</v>
      </c>
      <c r="AJ61" s="8" t="s">
        <v>31</v>
      </c>
      <c r="AK61" s="15" t="s">
        <v>32</v>
      </c>
      <c r="AL61" s="15" t="s">
        <v>6</v>
      </c>
    </row>
    <row r="62" spans="4:38" x14ac:dyDescent="0.25">
      <c r="D62" s="21" t="s">
        <v>20</v>
      </c>
      <c r="E62" s="11">
        <v>0.2311</v>
      </c>
      <c r="F62" s="16">
        <v>0.23949999999999999</v>
      </c>
      <c r="G62" s="5">
        <v>0.24196999999999999</v>
      </c>
      <c r="H62" s="6">
        <v>0.20666999999999999</v>
      </c>
      <c r="I62" s="4">
        <v>0.21221999999999999</v>
      </c>
      <c r="J62" s="4">
        <v>0.21651000000000001</v>
      </c>
      <c r="K62" s="6">
        <v>0.63334999999999997</v>
      </c>
      <c r="L62" s="18">
        <v>0.65224000000000004</v>
      </c>
      <c r="M62" s="22">
        <v>0.65429999999999999</v>
      </c>
      <c r="P62" s="21" t="s">
        <v>20</v>
      </c>
      <c r="Q62" s="11">
        <v>0.21626999999999999</v>
      </c>
      <c r="R62" s="16">
        <v>0.21584999999999999</v>
      </c>
      <c r="S62" s="5">
        <v>0.20576</v>
      </c>
      <c r="T62" s="16">
        <v>0.22276000000000001</v>
      </c>
      <c r="U62" s="5">
        <v>0.22184000000000001</v>
      </c>
      <c r="V62" s="16">
        <v>0.21260000000000001</v>
      </c>
      <c r="W62" s="6">
        <v>0.78361999999999998</v>
      </c>
      <c r="X62" s="18">
        <v>0.78083000000000002</v>
      </c>
      <c r="Y62" s="22">
        <v>0.75688999999999995</v>
      </c>
      <c r="AC62" s="21" t="s">
        <v>20</v>
      </c>
      <c r="AD62" s="7">
        <f>(R62-Q62)/Q62</f>
        <v>-1.9420169232903487E-3</v>
      </c>
      <c r="AE62" s="7">
        <f>(S62-Q62)/Q62</f>
        <v>-4.8596661580431834E-2</v>
      </c>
      <c r="AF62" s="7">
        <f>(T62-U62)/T62</f>
        <v>4.1300053869635662E-3</v>
      </c>
      <c r="AG62" s="7">
        <f>(T62-U62)/T62</f>
        <v>4.1300053869635662E-3</v>
      </c>
    </row>
    <row r="63" spans="4:38" x14ac:dyDescent="0.25">
      <c r="D63" s="21" t="s">
        <v>21</v>
      </c>
      <c r="E63" s="11">
        <v>0.38274999999999998</v>
      </c>
      <c r="F63" s="16">
        <v>0.37523000000000001</v>
      </c>
      <c r="G63" s="5">
        <v>0.36112</v>
      </c>
      <c r="H63" s="6">
        <v>0.43997999999999998</v>
      </c>
      <c r="I63" s="4">
        <v>0.4299</v>
      </c>
      <c r="J63" s="4">
        <v>0.39634000000000003</v>
      </c>
      <c r="K63" s="6">
        <v>0.89007000000000003</v>
      </c>
      <c r="L63" s="18">
        <v>0.89724999999999999</v>
      </c>
      <c r="M63" s="22">
        <v>0.88353000000000004</v>
      </c>
      <c r="P63" s="21" t="s">
        <v>21</v>
      </c>
      <c r="Q63" s="11">
        <v>0.50226000000000004</v>
      </c>
      <c r="R63" s="16">
        <v>0.46617999999999998</v>
      </c>
      <c r="S63" s="5">
        <v>0.55135000000000001</v>
      </c>
      <c r="T63" s="16">
        <v>0.41559000000000001</v>
      </c>
      <c r="U63" s="5">
        <v>0.40783000000000003</v>
      </c>
      <c r="V63" s="16">
        <v>0.38406000000000001</v>
      </c>
      <c r="W63" s="6">
        <v>0.62546000000000002</v>
      </c>
      <c r="X63" s="18">
        <v>0.61721999999999999</v>
      </c>
      <c r="Y63" s="22">
        <v>0.62470000000000003</v>
      </c>
      <c r="AC63" s="21" t="s">
        <v>21</v>
      </c>
      <c r="AD63" s="7">
        <f t="shared" ref="AD63:AD76" si="6">(R63-Q63)/Q63</f>
        <v>-7.1835304424003613E-2</v>
      </c>
      <c r="AE63" s="7">
        <f t="shared" ref="AE63:AE76" si="7">(S63-Q63)/Q63</f>
        <v>9.7738223230995819E-2</v>
      </c>
      <c r="AF63" s="7">
        <f t="shared" ref="AF63:AF76" si="8">(T63-U63)/T63</f>
        <v>1.8672249091652805E-2</v>
      </c>
      <c r="AG63" s="7">
        <f t="shared" ref="AG63:AG76" si="9">(T63-U63)/T63</f>
        <v>1.8672249091652805E-2</v>
      </c>
    </row>
    <row r="64" spans="4:38" x14ac:dyDescent="0.25">
      <c r="D64" s="21" t="s">
        <v>22</v>
      </c>
      <c r="E64" s="11">
        <v>0.33172000000000001</v>
      </c>
      <c r="F64" s="16">
        <v>0.32591999999999999</v>
      </c>
      <c r="G64" s="5">
        <v>0.32325999999999999</v>
      </c>
      <c r="H64" s="6">
        <v>0.34813</v>
      </c>
      <c r="I64" s="4">
        <v>0.34793000000000002</v>
      </c>
      <c r="J64" s="4">
        <v>0.34149000000000002</v>
      </c>
      <c r="K64" s="6">
        <v>0.79520000000000002</v>
      </c>
      <c r="L64" s="18">
        <v>0.78622000000000003</v>
      </c>
      <c r="M64" s="22">
        <v>0.78247999999999995</v>
      </c>
      <c r="P64" s="21" t="s">
        <v>22</v>
      </c>
      <c r="Q64" s="11">
        <v>0.31281999999999999</v>
      </c>
      <c r="R64" s="16">
        <v>0.31002999999999997</v>
      </c>
      <c r="S64" s="5">
        <v>0.30103999999999997</v>
      </c>
      <c r="T64" s="16">
        <v>0.31590000000000001</v>
      </c>
      <c r="U64" s="5">
        <v>0.31935000000000002</v>
      </c>
      <c r="V64" s="16">
        <v>0.31047999999999998</v>
      </c>
      <c r="W64" s="6">
        <v>0.70701999999999998</v>
      </c>
      <c r="X64" s="18">
        <v>0.70269000000000004</v>
      </c>
      <c r="Y64" s="22">
        <v>0.68293000000000004</v>
      </c>
      <c r="AC64" s="21" t="s">
        <v>22</v>
      </c>
      <c r="AD64" s="7">
        <f t="shared" si="6"/>
        <v>-8.9188670801100146E-3</v>
      </c>
      <c r="AE64" s="7">
        <f t="shared" si="7"/>
        <v>-3.765743878268657E-2</v>
      </c>
      <c r="AF64" s="7">
        <f t="shared" si="8"/>
        <v>-1.0921177587844281E-2</v>
      </c>
      <c r="AG64" s="7">
        <f t="shared" si="9"/>
        <v>-1.0921177587844281E-2</v>
      </c>
    </row>
    <row r="65" spans="4:33" x14ac:dyDescent="0.25">
      <c r="D65" s="21" t="s">
        <v>23</v>
      </c>
      <c r="E65" s="11">
        <v>0.32499</v>
      </c>
      <c r="F65" s="16">
        <v>0.31836999999999999</v>
      </c>
      <c r="G65" s="5">
        <v>0.30953999999999998</v>
      </c>
      <c r="H65" s="6">
        <v>0.37404999999999999</v>
      </c>
      <c r="I65" s="4">
        <v>0.36598000000000003</v>
      </c>
      <c r="J65" s="4">
        <v>0.35256999999999999</v>
      </c>
      <c r="K65" s="6">
        <v>0.66505999999999998</v>
      </c>
      <c r="L65" s="18">
        <v>0.64688000000000001</v>
      </c>
      <c r="M65" s="22">
        <v>0.62943000000000005</v>
      </c>
      <c r="P65" s="21" t="s">
        <v>23</v>
      </c>
      <c r="Q65" s="11">
        <v>0.32094</v>
      </c>
      <c r="R65" s="16">
        <v>0.31842999999999999</v>
      </c>
      <c r="S65" s="5">
        <v>0.311</v>
      </c>
      <c r="T65" s="16">
        <v>0.31905</v>
      </c>
      <c r="U65" s="5">
        <v>0.31644</v>
      </c>
      <c r="V65" s="16">
        <v>0.30431999999999998</v>
      </c>
      <c r="W65" s="6">
        <v>0.81552999999999998</v>
      </c>
      <c r="X65" s="18">
        <v>0.81325000000000003</v>
      </c>
      <c r="Y65" s="22">
        <v>0.79781999999999997</v>
      </c>
      <c r="AC65" s="21" t="s">
        <v>23</v>
      </c>
      <c r="AD65" s="7">
        <f t="shared" si="6"/>
        <v>-7.8207764691219928E-3</v>
      </c>
      <c r="AE65" s="7">
        <f t="shared" si="7"/>
        <v>-3.0971521156602493E-2</v>
      </c>
      <c r="AF65" s="7">
        <f t="shared" si="8"/>
        <v>8.1805359661495103E-3</v>
      </c>
      <c r="AG65" s="7">
        <f t="shared" si="9"/>
        <v>8.1805359661495103E-3</v>
      </c>
    </row>
    <row r="66" spans="4:33" x14ac:dyDescent="0.25">
      <c r="D66" s="21" t="s">
        <v>37</v>
      </c>
      <c r="E66" s="11">
        <v>0.29248000000000002</v>
      </c>
      <c r="F66" s="16">
        <v>0.29416999999999999</v>
      </c>
      <c r="G66" s="5">
        <v>0.30368000000000001</v>
      </c>
      <c r="H66" s="6">
        <v>0.26993</v>
      </c>
      <c r="I66" s="4">
        <v>0.26508999999999999</v>
      </c>
      <c r="J66" s="4">
        <v>0.27207999999999999</v>
      </c>
      <c r="K66" s="6">
        <v>0.84494999999999998</v>
      </c>
      <c r="L66" s="18">
        <v>0.82872999999999997</v>
      </c>
      <c r="M66" s="22">
        <v>0.85219999999999996</v>
      </c>
      <c r="P66" s="21" t="s">
        <v>37</v>
      </c>
      <c r="Q66" s="11">
        <v>0.32828000000000002</v>
      </c>
      <c r="R66" s="16">
        <v>0.32368999999999998</v>
      </c>
      <c r="S66" s="5">
        <v>0.32801000000000002</v>
      </c>
      <c r="T66" s="16">
        <v>0.27021000000000001</v>
      </c>
      <c r="U66" s="5">
        <v>0.26191999999999999</v>
      </c>
      <c r="V66" s="16">
        <v>0.25361</v>
      </c>
      <c r="W66" s="6">
        <v>0.97411999999999999</v>
      </c>
      <c r="X66" s="18">
        <v>0.94532000000000005</v>
      </c>
      <c r="Y66" s="22">
        <v>0.91644000000000003</v>
      </c>
      <c r="AC66" s="21" t="s">
        <v>37</v>
      </c>
      <c r="AD66" s="7">
        <f t="shared" si="6"/>
        <v>-1.3981966613866328E-2</v>
      </c>
      <c r="AE66" s="7">
        <f t="shared" si="7"/>
        <v>-8.2246862434504834E-4</v>
      </c>
      <c r="AF66" s="7">
        <f t="shared" si="8"/>
        <v>3.0679841604677915E-2</v>
      </c>
      <c r="AG66" s="7">
        <f t="shared" si="9"/>
        <v>3.0679841604677915E-2</v>
      </c>
    </row>
    <row r="67" spans="4:33" x14ac:dyDescent="0.25">
      <c r="D67" s="21" t="s">
        <v>36</v>
      </c>
      <c r="E67" s="11">
        <v>0.63476999999999995</v>
      </c>
      <c r="F67" s="16">
        <v>0.62017999999999995</v>
      </c>
      <c r="G67" s="5">
        <v>0.61894000000000005</v>
      </c>
      <c r="H67" s="6">
        <v>0.57055</v>
      </c>
      <c r="I67" s="4">
        <v>0.61338999999999999</v>
      </c>
      <c r="J67" s="4">
        <v>0.54347000000000001</v>
      </c>
      <c r="K67" s="6">
        <v>0.85197999999999996</v>
      </c>
      <c r="L67" s="18">
        <v>1.01546</v>
      </c>
      <c r="M67" s="22">
        <v>0.81682999999999995</v>
      </c>
      <c r="P67" s="21" t="s">
        <v>36</v>
      </c>
      <c r="Q67" s="11">
        <v>0.42460999999999999</v>
      </c>
      <c r="R67" s="16">
        <v>0.42837999999999998</v>
      </c>
      <c r="S67" s="5">
        <v>0.44585000000000002</v>
      </c>
      <c r="T67" s="16">
        <v>0.45041999999999999</v>
      </c>
      <c r="U67" s="5">
        <v>0.46148</v>
      </c>
      <c r="V67" s="16">
        <v>0.44663000000000003</v>
      </c>
      <c r="W67" s="6">
        <v>0.76776999999999995</v>
      </c>
      <c r="X67" s="18">
        <v>0.78415000000000001</v>
      </c>
      <c r="Y67" s="22">
        <v>0.76404000000000005</v>
      </c>
      <c r="AC67" s="21" t="s">
        <v>36</v>
      </c>
      <c r="AD67" s="7">
        <f t="shared" si="6"/>
        <v>8.8787357810696781E-3</v>
      </c>
      <c r="AE67" s="7">
        <f t="shared" si="7"/>
        <v>5.002237347212745E-2</v>
      </c>
      <c r="AF67" s="7">
        <f t="shared" si="8"/>
        <v>-2.455485990852985E-2</v>
      </c>
      <c r="AG67" s="7">
        <f t="shared" si="9"/>
        <v>-2.455485990852985E-2</v>
      </c>
    </row>
    <row r="68" spans="4:33" x14ac:dyDescent="0.25">
      <c r="D68" s="21" t="s">
        <v>38</v>
      </c>
      <c r="E68" s="11">
        <v>0.50446000000000002</v>
      </c>
      <c r="F68" s="16">
        <v>0.47442000000000001</v>
      </c>
      <c r="G68" s="5">
        <v>0.44384000000000001</v>
      </c>
      <c r="H68" s="6">
        <v>0.38562999999999997</v>
      </c>
      <c r="I68" s="4">
        <v>0.37629000000000001</v>
      </c>
      <c r="J68" s="4">
        <v>0.36710999999999999</v>
      </c>
      <c r="K68" s="6">
        <v>0.44750000000000001</v>
      </c>
      <c r="L68" s="18">
        <v>0.46503</v>
      </c>
      <c r="M68" s="22">
        <v>0.43429000000000001</v>
      </c>
      <c r="P68" s="21" t="s">
        <v>38</v>
      </c>
      <c r="Q68" s="11">
        <v>0.54296</v>
      </c>
      <c r="R68" s="16">
        <v>0.50573000000000001</v>
      </c>
      <c r="S68" s="5">
        <v>0.45401000000000002</v>
      </c>
      <c r="T68" s="16">
        <v>0.44097999999999998</v>
      </c>
      <c r="U68" s="5">
        <v>0.43280000000000002</v>
      </c>
      <c r="V68" s="16">
        <v>0.41449000000000003</v>
      </c>
      <c r="W68" s="6">
        <v>0.59192</v>
      </c>
      <c r="X68" s="18">
        <v>0.58925000000000005</v>
      </c>
      <c r="Y68" s="22">
        <v>0.58662000000000003</v>
      </c>
      <c r="AC68" s="21" t="s">
        <v>38</v>
      </c>
      <c r="AD68" s="7">
        <f t="shared" si="6"/>
        <v>-6.8568587004567527E-2</v>
      </c>
      <c r="AE68" s="7">
        <f t="shared" si="7"/>
        <v>-0.16382422277884184</v>
      </c>
      <c r="AF68" s="7">
        <f t="shared" si="8"/>
        <v>1.8549594085899509E-2</v>
      </c>
      <c r="AG68" s="7">
        <f t="shared" si="9"/>
        <v>1.8549594085899509E-2</v>
      </c>
    </row>
    <row r="69" spans="4:33" x14ac:dyDescent="0.25">
      <c r="D69" s="21" t="s">
        <v>24</v>
      </c>
      <c r="E69" s="11">
        <v>0.38140000000000002</v>
      </c>
      <c r="F69" s="16">
        <v>0.36531000000000002</v>
      </c>
      <c r="G69" s="5">
        <v>0.36748999999999998</v>
      </c>
      <c r="H69" s="6">
        <v>0.29855999999999999</v>
      </c>
      <c r="I69" s="4">
        <v>0.28856999999999999</v>
      </c>
      <c r="J69" s="4">
        <v>0.28126000000000001</v>
      </c>
      <c r="K69" s="6">
        <v>0.60284000000000004</v>
      </c>
      <c r="L69" s="18">
        <v>0.57611999999999997</v>
      </c>
      <c r="M69" s="22">
        <v>0.56564999999999999</v>
      </c>
      <c r="P69" s="21" t="s">
        <v>24</v>
      </c>
      <c r="Q69" s="11">
        <v>0.22292000000000001</v>
      </c>
      <c r="R69" s="16">
        <v>0.22069</v>
      </c>
      <c r="S69" s="5">
        <v>0.20902999999999999</v>
      </c>
      <c r="T69" s="16">
        <v>0.22678000000000001</v>
      </c>
      <c r="U69" s="5">
        <v>0.2243</v>
      </c>
      <c r="V69" s="16">
        <v>0.20768</v>
      </c>
      <c r="W69" s="6">
        <v>0.53729000000000005</v>
      </c>
      <c r="X69" s="18">
        <v>0.53134999999999999</v>
      </c>
      <c r="Y69" s="22">
        <v>0.48303000000000001</v>
      </c>
      <c r="AC69" s="21" t="s">
        <v>24</v>
      </c>
      <c r="AD69" s="7">
        <f t="shared" si="6"/>
        <v>-1.00035887313835E-2</v>
      </c>
      <c r="AE69" s="7">
        <f t="shared" si="7"/>
        <v>-6.2309348645253962E-2</v>
      </c>
      <c r="AF69" s="7">
        <f t="shared" si="8"/>
        <v>1.0935708616280139E-2</v>
      </c>
      <c r="AG69" s="7">
        <f t="shared" si="9"/>
        <v>1.0935708616280139E-2</v>
      </c>
    </row>
    <row r="70" spans="4:33" x14ac:dyDescent="0.25">
      <c r="D70" s="21" t="s">
        <v>25</v>
      </c>
      <c r="E70" s="11">
        <v>0.29066999999999998</v>
      </c>
      <c r="F70" s="16">
        <v>0.28938999999999998</v>
      </c>
      <c r="G70" s="5">
        <v>0.26905000000000001</v>
      </c>
      <c r="H70" s="6">
        <v>0.23408000000000001</v>
      </c>
      <c r="I70" s="4">
        <v>0.23427999999999999</v>
      </c>
      <c r="J70" s="4">
        <v>0.22419</v>
      </c>
      <c r="K70" s="6">
        <v>0.88007000000000002</v>
      </c>
      <c r="L70" s="18">
        <v>0.88914000000000004</v>
      </c>
      <c r="M70" s="22">
        <v>0.85270000000000001</v>
      </c>
      <c r="P70" s="21" t="s">
        <v>25</v>
      </c>
      <c r="Q70" s="11">
        <v>0.27318999999999999</v>
      </c>
      <c r="R70" s="16">
        <v>0.27379999999999999</v>
      </c>
      <c r="S70" s="5">
        <v>0.25613999999999998</v>
      </c>
      <c r="T70" s="16">
        <v>0.23485</v>
      </c>
      <c r="U70" s="5">
        <v>0.23566999999999999</v>
      </c>
      <c r="V70" s="16">
        <v>0.22697000000000001</v>
      </c>
      <c r="W70" s="6">
        <v>0.90475000000000005</v>
      </c>
      <c r="X70" s="18">
        <v>0.91293000000000002</v>
      </c>
      <c r="Y70" s="22">
        <v>0.88161999999999996</v>
      </c>
      <c r="AC70" s="21" t="s">
        <v>25</v>
      </c>
      <c r="AD70" s="7">
        <f t="shared" si="6"/>
        <v>2.2328782166257896E-3</v>
      </c>
      <c r="AE70" s="7">
        <f t="shared" si="7"/>
        <v>-6.2410776382737329E-2</v>
      </c>
      <c r="AF70" s="7">
        <f t="shared" si="8"/>
        <v>-3.4915903768362247E-3</v>
      </c>
      <c r="AG70" s="7">
        <f t="shared" si="9"/>
        <v>-3.4915903768362247E-3</v>
      </c>
    </row>
    <row r="71" spans="4:33" x14ac:dyDescent="0.25">
      <c r="D71" s="21" t="s">
        <v>45</v>
      </c>
      <c r="E71" s="11">
        <v>0.40819</v>
      </c>
      <c r="F71" s="16">
        <v>0.39305000000000001</v>
      </c>
      <c r="G71" s="5">
        <v>0.36760999999999999</v>
      </c>
      <c r="H71" s="6">
        <v>0.41415999999999997</v>
      </c>
      <c r="I71" s="4">
        <v>0.40443000000000001</v>
      </c>
      <c r="J71" s="4">
        <v>0.39096999999999998</v>
      </c>
      <c r="K71" s="6">
        <v>1.29695</v>
      </c>
      <c r="L71" s="18">
        <v>1.2602</v>
      </c>
      <c r="M71" s="22">
        <v>1.2080299999999999</v>
      </c>
      <c r="P71" s="21" t="s">
        <v>45</v>
      </c>
      <c r="Q71" s="11">
        <v>0.40489999999999998</v>
      </c>
      <c r="R71" s="16">
        <v>0.42757000000000001</v>
      </c>
      <c r="S71" s="5">
        <v>0.35959000000000002</v>
      </c>
      <c r="T71" s="16">
        <v>0.31946999999999998</v>
      </c>
      <c r="U71" s="5">
        <v>0.33274999999999999</v>
      </c>
      <c r="V71" s="16">
        <v>0.28904000000000002</v>
      </c>
      <c r="W71" s="6">
        <v>0.75812000000000002</v>
      </c>
      <c r="X71" s="18">
        <v>0.79213</v>
      </c>
      <c r="Y71" s="22">
        <v>0.63482000000000005</v>
      </c>
      <c r="AC71" s="21" t="s">
        <v>45</v>
      </c>
      <c r="AD71" s="7">
        <f t="shared" si="6"/>
        <v>5.5989133119288777E-2</v>
      </c>
      <c r="AE71" s="7">
        <f t="shared" si="7"/>
        <v>-0.11190417387009129</v>
      </c>
      <c r="AF71" s="7">
        <f t="shared" si="8"/>
        <v>-4.156884840517111E-2</v>
      </c>
      <c r="AG71" s="7">
        <f t="shared" si="9"/>
        <v>-4.156884840517111E-2</v>
      </c>
    </row>
    <row r="72" spans="4:33" x14ac:dyDescent="0.25">
      <c r="D72" s="21" t="s">
        <v>26</v>
      </c>
      <c r="E72" s="11">
        <v>0.29947000000000001</v>
      </c>
      <c r="F72" s="16">
        <v>0.29729</v>
      </c>
      <c r="G72" s="5">
        <v>0.28344999999999998</v>
      </c>
      <c r="H72" s="6">
        <v>0.28367999999999999</v>
      </c>
      <c r="I72" s="4">
        <v>0.28254000000000001</v>
      </c>
      <c r="J72" s="4">
        <v>0.27587</v>
      </c>
      <c r="K72" s="6">
        <v>0.78374999999999995</v>
      </c>
      <c r="L72" s="18">
        <v>0.78258000000000005</v>
      </c>
      <c r="M72" s="22">
        <v>0.75744999999999996</v>
      </c>
      <c r="P72" s="21" t="s">
        <v>26</v>
      </c>
      <c r="Q72" s="11">
        <v>0.42000999999999999</v>
      </c>
      <c r="R72" s="16">
        <v>0.42695</v>
      </c>
      <c r="S72" s="5">
        <v>0.38063999999999998</v>
      </c>
      <c r="T72" s="16">
        <v>0.31961000000000001</v>
      </c>
      <c r="U72" s="5">
        <v>0.32196999999999998</v>
      </c>
      <c r="V72" s="16">
        <v>0.30131000000000002</v>
      </c>
      <c r="W72" s="6">
        <v>0.92413999999999996</v>
      </c>
      <c r="X72" s="18">
        <v>0.94623000000000002</v>
      </c>
      <c r="Y72" s="22">
        <v>0.83379000000000003</v>
      </c>
      <c r="AC72" s="21" t="s">
        <v>26</v>
      </c>
      <c r="AD72" s="7">
        <f t="shared" si="6"/>
        <v>1.6523416109140262E-2</v>
      </c>
      <c r="AE72" s="7">
        <f t="shared" si="7"/>
        <v>-9.3735863431823094E-2</v>
      </c>
      <c r="AF72" s="7">
        <f t="shared" si="8"/>
        <v>-7.3839992490847385E-3</v>
      </c>
      <c r="AG72" s="7">
        <f t="shared" si="9"/>
        <v>-7.3839992490847385E-3</v>
      </c>
    </row>
    <row r="73" spans="4:33" x14ac:dyDescent="0.25">
      <c r="D73" s="21" t="s">
        <v>27</v>
      </c>
      <c r="E73" s="11">
        <v>0.34434999999999999</v>
      </c>
      <c r="F73" s="16">
        <v>0.30268</v>
      </c>
      <c r="G73" s="5">
        <v>0.29432999999999998</v>
      </c>
      <c r="H73" s="6">
        <v>0.27761999999999998</v>
      </c>
      <c r="I73" s="4">
        <v>0.26345000000000002</v>
      </c>
      <c r="J73" s="4">
        <v>0.26207999999999998</v>
      </c>
      <c r="K73" s="6">
        <v>0.57877999999999996</v>
      </c>
      <c r="L73" s="18">
        <v>0.52564</v>
      </c>
      <c r="M73" s="22">
        <v>0.52851000000000004</v>
      </c>
      <c r="P73" s="21" t="s">
        <v>27</v>
      </c>
      <c r="Q73" s="11">
        <v>0.35760999999999998</v>
      </c>
      <c r="R73" s="16">
        <v>0.31619999999999998</v>
      </c>
      <c r="S73" s="5">
        <v>0.29315000000000002</v>
      </c>
      <c r="T73" s="16">
        <v>0.28205999999999998</v>
      </c>
      <c r="U73" s="5">
        <v>0.26349</v>
      </c>
      <c r="V73" s="16">
        <v>0.25312000000000001</v>
      </c>
      <c r="W73" s="6">
        <v>0.75202999999999998</v>
      </c>
      <c r="X73" s="18">
        <v>0.67976000000000003</v>
      </c>
      <c r="Y73" s="22">
        <v>0.69708999999999999</v>
      </c>
      <c r="AC73" s="21" t="s">
        <v>27</v>
      </c>
      <c r="AD73" s="7">
        <f t="shared" si="6"/>
        <v>-0.11579653812812842</v>
      </c>
      <c r="AE73" s="7">
        <f t="shared" si="7"/>
        <v>-0.18025223008305127</v>
      </c>
      <c r="AF73" s="7">
        <f t="shared" si="8"/>
        <v>6.5837055945543413E-2</v>
      </c>
      <c r="AG73" s="7">
        <f t="shared" si="9"/>
        <v>6.5837055945543413E-2</v>
      </c>
    </row>
    <row r="74" spans="4:33" x14ac:dyDescent="0.25">
      <c r="D74" s="21" t="s">
        <v>28</v>
      </c>
      <c r="E74" s="11">
        <v>0.36187000000000002</v>
      </c>
      <c r="F74" s="16">
        <v>0.36437000000000003</v>
      </c>
      <c r="G74" s="5">
        <v>0.35252</v>
      </c>
      <c r="H74" s="6">
        <v>0.34971000000000002</v>
      </c>
      <c r="I74" s="4">
        <v>0.34975000000000001</v>
      </c>
      <c r="J74" s="4">
        <v>0.35303000000000001</v>
      </c>
      <c r="K74" s="6">
        <v>0.73873</v>
      </c>
      <c r="L74" s="18">
        <v>0.74373999999999996</v>
      </c>
      <c r="M74" s="22">
        <v>0.74612999999999996</v>
      </c>
      <c r="P74" s="21" t="s">
        <v>28</v>
      </c>
      <c r="Q74" s="11">
        <v>0.35692000000000002</v>
      </c>
      <c r="R74" s="16">
        <v>0.37218000000000001</v>
      </c>
      <c r="S74" s="5">
        <v>0.33967000000000003</v>
      </c>
      <c r="T74" s="16">
        <v>0.29937000000000002</v>
      </c>
      <c r="U74" s="5">
        <v>0.30476999999999999</v>
      </c>
      <c r="V74" s="16">
        <v>0.29735</v>
      </c>
      <c r="W74" s="6">
        <v>0.43175999999999998</v>
      </c>
      <c r="X74" s="18">
        <v>0.43868000000000001</v>
      </c>
      <c r="Y74" s="22">
        <v>0.43226999999999999</v>
      </c>
      <c r="AC74" s="21" t="s">
        <v>28</v>
      </c>
      <c r="AD74" s="7">
        <f t="shared" si="6"/>
        <v>4.2754678919645843E-2</v>
      </c>
      <c r="AE74" s="7">
        <f t="shared" si="7"/>
        <v>-4.8330158018603575E-2</v>
      </c>
      <c r="AF74" s="7">
        <f t="shared" si="8"/>
        <v>-1.803787954704867E-2</v>
      </c>
      <c r="AG74" s="7">
        <f t="shared" si="9"/>
        <v>-1.803787954704867E-2</v>
      </c>
    </row>
    <row r="75" spans="4:33" x14ac:dyDescent="0.25">
      <c r="D75" s="21" t="s">
        <v>39</v>
      </c>
      <c r="E75" s="11">
        <v>0.36303999999999997</v>
      </c>
      <c r="F75" s="16">
        <v>0.36765999999999999</v>
      </c>
      <c r="G75" s="5">
        <v>0.35176000000000002</v>
      </c>
      <c r="H75" s="6">
        <v>0.38963999999999999</v>
      </c>
      <c r="I75" s="4">
        <v>0.39172000000000001</v>
      </c>
      <c r="J75" s="4">
        <v>0.37290000000000001</v>
      </c>
      <c r="K75" s="6">
        <v>1.0090600000000001</v>
      </c>
      <c r="L75" s="18">
        <v>1.01874</v>
      </c>
      <c r="M75" s="22">
        <v>0.97114</v>
      </c>
      <c r="P75" s="21" t="s">
        <v>39</v>
      </c>
      <c r="Q75" s="11">
        <v>0.42044999999999999</v>
      </c>
      <c r="R75" s="16">
        <v>0.41839999999999999</v>
      </c>
      <c r="S75" s="5">
        <v>0.42485000000000001</v>
      </c>
      <c r="T75" s="16">
        <v>0.38902999999999999</v>
      </c>
      <c r="U75" s="5">
        <v>0.38678000000000001</v>
      </c>
      <c r="V75" s="16">
        <v>0.38657999999999998</v>
      </c>
      <c r="W75" s="6">
        <v>0.95467999999999997</v>
      </c>
      <c r="X75" s="18">
        <v>0.95013000000000003</v>
      </c>
      <c r="Y75" s="22">
        <v>0.95191999999999999</v>
      </c>
      <c r="AC75" s="21" t="s">
        <v>39</v>
      </c>
      <c r="AD75" s="7">
        <f t="shared" si="6"/>
        <v>-4.8757283862528155E-3</v>
      </c>
      <c r="AE75" s="7">
        <f t="shared" si="7"/>
        <v>1.0464977999762195E-2</v>
      </c>
      <c r="AF75" s="7">
        <f t="shared" si="8"/>
        <v>5.7836156594606438E-3</v>
      </c>
      <c r="AG75" s="7">
        <f t="shared" si="9"/>
        <v>5.7836156594606438E-3</v>
      </c>
    </row>
    <row r="76" spans="4:33" x14ac:dyDescent="0.25">
      <c r="D76" s="23" t="s">
        <v>40</v>
      </c>
      <c r="E76" s="12">
        <v>0.51524000000000003</v>
      </c>
      <c r="F76" s="17">
        <v>0.52785000000000004</v>
      </c>
      <c r="G76" s="13">
        <v>0.56238999999999995</v>
      </c>
      <c r="H76" s="14">
        <v>0.49909999999999999</v>
      </c>
      <c r="I76" s="4">
        <v>0.50919000000000003</v>
      </c>
      <c r="J76" s="4">
        <v>0.51583000000000001</v>
      </c>
      <c r="K76" s="14">
        <v>0.59904000000000002</v>
      </c>
      <c r="L76" s="45">
        <v>0.62444999999999995</v>
      </c>
      <c r="M76" s="24">
        <v>0.64653000000000005</v>
      </c>
      <c r="P76" s="23" t="s">
        <v>40</v>
      </c>
      <c r="Q76" s="12">
        <v>0.49509999999999998</v>
      </c>
      <c r="R76" s="17">
        <v>0.48094999999999999</v>
      </c>
      <c r="S76" s="13">
        <v>0.47219</v>
      </c>
      <c r="T76" s="17">
        <v>0.48859999999999998</v>
      </c>
      <c r="U76" s="13">
        <v>0.48058000000000001</v>
      </c>
      <c r="V76" s="17">
        <v>0.45766000000000001</v>
      </c>
      <c r="W76" s="14">
        <v>0.46304000000000001</v>
      </c>
      <c r="X76" s="45">
        <v>0.45863999999999999</v>
      </c>
      <c r="Y76" s="24">
        <v>0.44802999999999998</v>
      </c>
      <c r="AC76" s="23" t="s">
        <v>40</v>
      </c>
      <c r="AD76" s="7">
        <f t="shared" si="6"/>
        <v>-2.8580084831347195E-2</v>
      </c>
      <c r="AE76" s="7">
        <f t="shared" si="7"/>
        <v>-4.6273480105029262E-2</v>
      </c>
      <c r="AF76" s="7">
        <f t="shared" si="8"/>
        <v>1.6414244781006903E-2</v>
      </c>
      <c r="AG76" s="7">
        <f t="shared" si="9"/>
        <v>1.6414244781006903E-2</v>
      </c>
    </row>
    <row r="77" spans="4:33" x14ac:dyDescent="0.25">
      <c r="E77" s="7">
        <f>AVERAGE(E62:E76)</f>
        <v>0.3777666666666667</v>
      </c>
      <c r="F77" s="7">
        <f t="shared" ref="F77:G77" si="10">AVERAGE(F62:F76)</f>
        <v>0.37035933333333332</v>
      </c>
      <c r="G77" s="7">
        <f t="shared" si="10"/>
        <v>0.36339666666666659</v>
      </c>
      <c r="H77" s="7">
        <v>0.35609933333333338</v>
      </c>
      <c r="I77" s="4">
        <v>0.35564866666666678</v>
      </c>
      <c r="J77" s="4">
        <v>0.34438000000000002</v>
      </c>
      <c r="K77" s="7">
        <f t="shared" ref="K77:M77" si="11">AVERAGE(K62:K76)</f>
        <v>0.77448866666666671</v>
      </c>
      <c r="L77" s="7">
        <f t="shared" si="11"/>
        <v>0.78082799999999986</v>
      </c>
      <c r="M77" s="7">
        <f t="shared" si="11"/>
        <v>0.75528000000000006</v>
      </c>
      <c r="Q77" s="7">
        <f>AVERAGE(Q62:Q76)</f>
        <v>0.3732826666666666</v>
      </c>
      <c r="R77" s="7">
        <f t="shared" ref="R77:Y77" si="12">AVERAGE(R62:R76)</f>
        <v>0.36700200000000005</v>
      </c>
      <c r="S77" s="7">
        <f t="shared" si="12"/>
        <v>0.35548533333333332</v>
      </c>
      <c r="T77" s="7">
        <f t="shared" si="12"/>
        <v>0.3329786666666667</v>
      </c>
      <c r="U77" s="7">
        <f t="shared" si="12"/>
        <v>0.33146466666666657</v>
      </c>
      <c r="V77" s="7">
        <f t="shared" si="12"/>
        <v>0.3163933333333333</v>
      </c>
      <c r="W77" s="7">
        <f t="shared" si="12"/>
        <v>0.7327499999999999</v>
      </c>
      <c r="X77" s="7">
        <f t="shared" si="12"/>
        <v>0.72950400000000004</v>
      </c>
      <c r="Y77" s="7">
        <f t="shared" si="12"/>
        <v>0.69946733333333322</v>
      </c>
    </row>
  </sheetData>
  <mergeCells count="18">
    <mergeCell ref="T24:V24"/>
    <mergeCell ref="W24:Y24"/>
    <mergeCell ref="E24:G24"/>
    <mergeCell ref="Q60:S60"/>
    <mergeCell ref="T60:V60"/>
    <mergeCell ref="W60:Y60"/>
    <mergeCell ref="E60:G60"/>
    <mergeCell ref="Q42:S42"/>
    <mergeCell ref="T42:V42"/>
    <mergeCell ref="W42:Y42"/>
    <mergeCell ref="E42:G42"/>
    <mergeCell ref="K24:M24"/>
    <mergeCell ref="K42:M42"/>
    <mergeCell ref="K60:M60"/>
    <mergeCell ref="H24:J24"/>
    <mergeCell ref="H42:J42"/>
    <mergeCell ref="H60:J60"/>
    <mergeCell ref="Q24:S24"/>
  </mergeCells>
  <conditionalFormatting sqref="R26">
    <cfRule type="cellIs" dxfId="1" priority="2" operator="lessThan">
      <formula>$Q$26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D24:Y77"/>
  <sheetViews>
    <sheetView zoomScale="90" zoomScaleNormal="90" workbookViewId="0">
      <selection activeCell="F19" sqref="F19"/>
    </sheetView>
  </sheetViews>
  <sheetFormatPr defaultColWidth="9" defaultRowHeight="15" x14ac:dyDescent="0.25"/>
  <cols>
    <col min="1" max="3" width="9" style="4"/>
    <col min="4" max="4" width="22.375" style="4" customWidth="1"/>
    <col min="5" max="15" width="9" style="4"/>
    <col min="16" max="16" width="25.875" style="4" customWidth="1"/>
    <col min="17" max="17" width="13.75" style="4" customWidth="1"/>
    <col min="18" max="16384" width="9" style="4"/>
  </cols>
  <sheetData>
    <row r="24" spans="4:25" x14ac:dyDescent="0.25">
      <c r="D24" s="19" t="s">
        <v>42</v>
      </c>
      <c r="E24" s="174" t="s">
        <v>10</v>
      </c>
      <c r="F24" s="174"/>
      <c r="G24" s="174"/>
      <c r="H24" s="174" t="s">
        <v>11</v>
      </c>
      <c r="I24" s="174"/>
      <c r="J24" s="174"/>
      <c r="K24" s="174" t="s">
        <v>1</v>
      </c>
      <c r="L24" s="174"/>
      <c r="M24" s="174"/>
      <c r="P24" s="19" t="s">
        <v>33</v>
      </c>
      <c r="Q24" s="174" t="s">
        <v>10</v>
      </c>
      <c r="R24" s="174"/>
      <c r="S24" s="174"/>
      <c r="T24" s="174" t="s">
        <v>11</v>
      </c>
      <c r="U24" s="174"/>
      <c r="V24" s="174"/>
      <c r="W24" s="174" t="s">
        <v>1</v>
      </c>
      <c r="X24" s="174"/>
      <c r="Y24" s="174"/>
    </row>
    <row r="25" spans="4:25" x14ac:dyDescent="0.25">
      <c r="D25" s="20" t="s">
        <v>29</v>
      </c>
      <c r="E25" s="8" t="s">
        <v>5</v>
      </c>
      <c r="F25" s="15" t="s">
        <v>17</v>
      </c>
      <c r="G25" s="9" t="s">
        <v>8</v>
      </c>
      <c r="H25" s="15" t="s">
        <v>5</v>
      </c>
      <c r="I25" s="9" t="s">
        <v>17</v>
      </c>
      <c r="J25" s="15" t="s">
        <v>8</v>
      </c>
      <c r="K25" s="9" t="s">
        <v>5</v>
      </c>
      <c r="L25" s="15" t="s">
        <v>17</v>
      </c>
      <c r="M25" s="10" t="s">
        <v>8</v>
      </c>
      <c r="P25" s="20" t="s">
        <v>29</v>
      </c>
      <c r="Q25" s="8" t="s">
        <v>5</v>
      </c>
      <c r="R25" s="15" t="s">
        <v>17</v>
      </c>
      <c r="S25" s="9" t="s">
        <v>8</v>
      </c>
      <c r="T25" s="8" t="s">
        <v>5</v>
      </c>
      <c r="U25" s="15" t="s">
        <v>17</v>
      </c>
      <c r="V25" s="9" t="s">
        <v>8</v>
      </c>
      <c r="W25" s="8" t="s">
        <v>5</v>
      </c>
      <c r="X25" s="15" t="s">
        <v>17</v>
      </c>
      <c r="Y25" s="15" t="s">
        <v>8</v>
      </c>
    </row>
    <row r="26" spans="4:25" x14ac:dyDescent="0.25">
      <c r="D26" s="21" t="s">
        <v>20</v>
      </c>
      <c r="E26" s="11">
        <v>0.26339000000000001</v>
      </c>
      <c r="F26" s="16">
        <v>0.25896000000000002</v>
      </c>
      <c r="G26" s="5">
        <v>0.26469999999999999</v>
      </c>
      <c r="H26" s="16">
        <v>0.21415000000000001</v>
      </c>
      <c r="I26" s="5">
        <v>0.20952999999999999</v>
      </c>
      <c r="J26" s="16">
        <v>0.21317</v>
      </c>
      <c r="K26" s="6">
        <v>0.62587000000000004</v>
      </c>
      <c r="L26" s="18">
        <v>0.62158000000000002</v>
      </c>
      <c r="M26" s="22">
        <v>0.62085999999999997</v>
      </c>
      <c r="P26" s="21" t="s">
        <v>20</v>
      </c>
      <c r="Q26" s="11">
        <v>0.21775</v>
      </c>
      <c r="R26" s="16">
        <v>0.21851000000000001</v>
      </c>
      <c r="S26" s="5">
        <v>0.21198</v>
      </c>
      <c r="T26" s="16">
        <v>0.21595</v>
      </c>
      <c r="U26" s="16">
        <v>0.21793999999999999</v>
      </c>
      <c r="V26" s="46">
        <v>0.21199999999999999</v>
      </c>
      <c r="W26" s="6">
        <v>0.75165000000000004</v>
      </c>
      <c r="X26" s="18">
        <v>0.75829000000000002</v>
      </c>
      <c r="Y26" s="22">
        <v>0.73880000000000001</v>
      </c>
    </row>
    <row r="27" spans="4:25" x14ac:dyDescent="0.25">
      <c r="D27" s="21" t="s">
        <v>21</v>
      </c>
      <c r="E27" s="11">
        <v>0.33387</v>
      </c>
      <c r="F27" s="16">
        <v>0.34028999999999998</v>
      </c>
      <c r="G27" s="5">
        <v>0.34756999999999999</v>
      </c>
      <c r="H27" s="16">
        <v>0.39409</v>
      </c>
      <c r="I27" s="5">
        <v>0.39672000000000002</v>
      </c>
      <c r="J27" s="16">
        <v>0.39745000000000003</v>
      </c>
      <c r="K27" s="6">
        <v>2.3969900000000002</v>
      </c>
      <c r="L27" s="18">
        <v>2.3975300000000002</v>
      </c>
      <c r="M27" s="22">
        <v>2.4092799999999999</v>
      </c>
      <c r="P27" s="21" t="s">
        <v>21</v>
      </c>
      <c r="Q27" s="11">
        <v>0.27681</v>
      </c>
      <c r="R27" s="16">
        <v>0.28359000000000001</v>
      </c>
      <c r="S27" s="5">
        <v>0.28489999999999999</v>
      </c>
      <c r="T27" s="16">
        <v>0.26918999999999998</v>
      </c>
      <c r="U27" s="16">
        <v>0.27432000000000001</v>
      </c>
      <c r="V27" s="16">
        <v>0.25931999999999999</v>
      </c>
      <c r="W27" s="6">
        <v>0.46660000000000001</v>
      </c>
      <c r="X27" s="18">
        <v>0.48755999999999999</v>
      </c>
      <c r="Y27" s="22">
        <v>0.48071999999999998</v>
      </c>
    </row>
    <row r="28" spans="4:25" x14ac:dyDescent="0.25">
      <c r="D28" s="21" t="s">
        <v>22</v>
      </c>
      <c r="E28" s="11">
        <v>0.27127000000000001</v>
      </c>
      <c r="F28" s="16">
        <v>0.26806999999999997</v>
      </c>
      <c r="G28" s="5">
        <v>0.2757</v>
      </c>
      <c r="H28" s="16">
        <v>0.31244</v>
      </c>
      <c r="I28" s="5">
        <v>0.31135000000000002</v>
      </c>
      <c r="J28" s="16">
        <v>0.31731999999999999</v>
      </c>
      <c r="K28" s="6">
        <v>0.85368999999999995</v>
      </c>
      <c r="L28" s="18">
        <v>0.85792999999999997</v>
      </c>
      <c r="M28" s="22">
        <v>0.87794000000000005</v>
      </c>
      <c r="P28" s="21" t="s">
        <v>22</v>
      </c>
      <c r="Q28" s="11">
        <v>0.30064999999999997</v>
      </c>
      <c r="R28" s="16">
        <v>0.30721999999999999</v>
      </c>
      <c r="S28" s="5">
        <v>0.29531000000000002</v>
      </c>
      <c r="T28" s="16">
        <v>0.29871999999999999</v>
      </c>
      <c r="U28" s="16">
        <v>0.30908000000000002</v>
      </c>
      <c r="V28" s="16">
        <v>0.29455999999999999</v>
      </c>
      <c r="W28" s="6">
        <v>0.5988</v>
      </c>
      <c r="X28" s="18">
        <v>0.61036999999999997</v>
      </c>
      <c r="Y28" s="22">
        <v>0.58514999999999995</v>
      </c>
    </row>
    <row r="29" spans="4:25" x14ac:dyDescent="0.25">
      <c r="D29" s="21" t="s">
        <v>23</v>
      </c>
      <c r="E29" s="11">
        <v>0.28115000000000001</v>
      </c>
      <c r="F29" s="16">
        <v>0.25871</v>
      </c>
      <c r="G29" s="5">
        <v>0.27123000000000003</v>
      </c>
      <c r="H29" s="16">
        <v>0.31052999999999997</v>
      </c>
      <c r="I29" s="5">
        <v>0.28625</v>
      </c>
      <c r="J29" s="16">
        <v>0.30159000000000002</v>
      </c>
      <c r="K29" s="6">
        <v>0.46634999999999999</v>
      </c>
      <c r="L29" s="18">
        <v>0.42369000000000001</v>
      </c>
      <c r="M29" s="22">
        <v>0.43047999999999997</v>
      </c>
      <c r="P29" s="21" t="s">
        <v>23</v>
      </c>
      <c r="Q29" s="11">
        <v>0.26434000000000002</v>
      </c>
      <c r="R29" s="16">
        <v>0.26011000000000001</v>
      </c>
      <c r="S29" s="5">
        <v>0.25575999999999999</v>
      </c>
      <c r="T29" s="16">
        <v>0.28638000000000002</v>
      </c>
      <c r="U29" s="16">
        <v>0.28239999999999998</v>
      </c>
      <c r="V29" s="16">
        <v>0.27374999999999999</v>
      </c>
      <c r="W29" s="6">
        <v>1.01478</v>
      </c>
      <c r="X29" s="18">
        <v>1.00939</v>
      </c>
      <c r="Y29" s="22">
        <v>1.00631</v>
      </c>
    </row>
    <row r="30" spans="4:25" x14ac:dyDescent="0.25">
      <c r="D30" s="21" t="s">
        <v>37</v>
      </c>
      <c r="E30" s="11">
        <v>0.24535999999999999</v>
      </c>
      <c r="F30" s="16">
        <v>0.24553</v>
      </c>
      <c r="G30" s="5">
        <v>0.24423</v>
      </c>
      <c r="H30" s="16">
        <v>0.25847999999999999</v>
      </c>
      <c r="I30" s="5">
        <v>0.25463000000000002</v>
      </c>
      <c r="J30" s="16">
        <v>0.25297999999999998</v>
      </c>
      <c r="K30" s="6">
        <v>0.92971000000000004</v>
      </c>
      <c r="L30" s="18">
        <v>0.90900000000000003</v>
      </c>
      <c r="M30" s="22">
        <v>0.93362999999999996</v>
      </c>
      <c r="P30" s="21" t="s">
        <v>37</v>
      </c>
      <c r="Q30" s="11">
        <v>0.223</v>
      </c>
      <c r="R30" s="16">
        <v>0.21965999999999999</v>
      </c>
      <c r="S30" s="5">
        <v>0.22017999999999999</v>
      </c>
      <c r="T30" s="16">
        <v>0.23011000000000001</v>
      </c>
      <c r="U30" s="16">
        <v>0.22675000000000001</v>
      </c>
      <c r="V30" s="16">
        <v>0.21709000000000001</v>
      </c>
      <c r="W30" s="6">
        <v>0.88834000000000002</v>
      </c>
      <c r="X30" s="18">
        <v>0.87507999999999997</v>
      </c>
      <c r="Y30" s="22">
        <v>0.83891000000000004</v>
      </c>
    </row>
    <row r="31" spans="4:25" x14ac:dyDescent="0.25">
      <c r="D31" s="21" t="s">
        <v>36</v>
      </c>
      <c r="E31" s="11">
        <v>0.34649999999999997</v>
      </c>
      <c r="F31" s="16">
        <v>0.379</v>
      </c>
      <c r="G31" s="5">
        <v>0.32586999999999999</v>
      </c>
      <c r="H31" s="16">
        <v>0.36158000000000001</v>
      </c>
      <c r="I31" s="5">
        <v>0.39628999999999998</v>
      </c>
      <c r="J31" s="16">
        <v>0.32244</v>
      </c>
      <c r="K31" s="6">
        <v>0.33052999999999999</v>
      </c>
      <c r="L31" s="18">
        <v>0.35681000000000002</v>
      </c>
      <c r="M31" s="22">
        <v>0.29498999999999997</v>
      </c>
      <c r="P31" s="21" t="s">
        <v>36</v>
      </c>
      <c r="Q31" s="11">
        <v>0.44955000000000001</v>
      </c>
      <c r="R31" s="16">
        <v>0.45006000000000002</v>
      </c>
      <c r="S31" s="5">
        <v>0.47797000000000001</v>
      </c>
      <c r="T31" s="16">
        <v>0.44514999999999999</v>
      </c>
      <c r="U31" s="16">
        <v>0.45804</v>
      </c>
      <c r="V31" s="16">
        <v>0.44001000000000001</v>
      </c>
      <c r="W31" s="6">
        <v>0.76429999999999998</v>
      </c>
      <c r="X31" s="18">
        <v>0.80147000000000002</v>
      </c>
      <c r="Y31" s="22">
        <v>0.76166</v>
      </c>
    </row>
    <row r="32" spans="4:25" x14ac:dyDescent="0.25">
      <c r="D32" s="21" t="s">
        <v>38</v>
      </c>
      <c r="E32" s="11">
        <v>0.84663999999999995</v>
      </c>
      <c r="F32" s="16">
        <v>0.79108000000000001</v>
      </c>
      <c r="G32" s="5">
        <v>0.74678</v>
      </c>
      <c r="H32" s="16">
        <v>0.49184</v>
      </c>
      <c r="I32" s="5">
        <v>0.48298999999999997</v>
      </c>
      <c r="J32" s="16">
        <v>0.45995000000000003</v>
      </c>
      <c r="K32" s="6">
        <v>0.31648999999999999</v>
      </c>
      <c r="L32" s="18">
        <v>0.33740999999999999</v>
      </c>
      <c r="M32" s="22">
        <v>0.26643</v>
      </c>
      <c r="P32" s="21" t="s">
        <v>38</v>
      </c>
      <c r="Q32" s="11">
        <v>0.46855000000000002</v>
      </c>
      <c r="R32" s="16">
        <v>0.46138000000000001</v>
      </c>
      <c r="S32" s="5">
        <v>0.39828999999999998</v>
      </c>
      <c r="T32" s="16">
        <v>0.39928999999999998</v>
      </c>
      <c r="U32" s="16">
        <v>0.39844000000000002</v>
      </c>
      <c r="V32" s="16">
        <v>0.37364000000000003</v>
      </c>
      <c r="W32" s="6">
        <v>0.56672</v>
      </c>
      <c r="X32" s="18">
        <v>0.58616000000000001</v>
      </c>
      <c r="Y32" s="22">
        <v>0.56516</v>
      </c>
    </row>
    <row r="33" spans="4:25" x14ac:dyDescent="0.25">
      <c r="D33" s="21" t="s">
        <v>24</v>
      </c>
      <c r="E33" s="11">
        <v>1.08392</v>
      </c>
      <c r="F33" s="16">
        <v>1.0314300000000001</v>
      </c>
      <c r="G33" s="5">
        <v>1.10131</v>
      </c>
      <c r="H33" s="16">
        <v>0.29457</v>
      </c>
      <c r="I33" s="5">
        <v>0.28793999999999997</v>
      </c>
      <c r="J33" s="16">
        <v>0.30804999999999999</v>
      </c>
      <c r="K33" s="6">
        <v>0.33277000000000001</v>
      </c>
      <c r="L33" s="18">
        <v>0.29748999999999998</v>
      </c>
      <c r="M33" s="22">
        <v>0.34739999999999999</v>
      </c>
      <c r="P33" s="21" t="s">
        <v>24</v>
      </c>
      <c r="Q33" s="11">
        <v>0.20598</v>
      </c>
      <c r="R33" s="16">
        <v>0.19977</v>
      </c>
      <c r="S33" s="5">
        <v>0.20274</v>
      </c>
      <c r="T33" s="16">
        <v>0.20973</v>
      </c>
      <c r="U33" s="16">
        <v>0.20394000000000001</v>
      </c>
      <c r="V33" s="16">
        <v>0.20493</v>
      </c>
      <c r="W33" s="6">
        <v>0.49879000000000001</v>
      </c>
      <c r="X33" s="18">
        <v>0.49006</v>
      </c>
      <c r="Y33" s="22">
        <v>0.48760999999999999</v>
      </c>
    </row>
    <row r="34" spans="4:25" x14ac:dyDescent="0.25">
      <c r="D34" s="21" t="s">
        <v>25</v>
      </c>
      <c r="E34" s="11">
        <v>0.17193</v>
      </c>
      <c r="F34" s="16">
        <v>0.14968999999999999</v>
      </c>
      <c r="G34" s="5">
        <v>0.14846000000000001</v>
      </c>
      <c r="H34" s="16">
        <v>0.15075</v>
      </c>
      <c r="I34" s="5">
        <v>0.13349</v>
      </c>
      <c r="J34" s="16">
        <v>0.13353000000000001</v>
      </c>
      <c r="K34" s="6">
        <v>0.43694</v>
      </c>
      <c r="L34" s="18">
        <v>0.39731</v>
      </c>
      <c r="M34" s="22">
        <v>0.40416999999999997</v>
      </c>
      <c r="P34" s="21" t="s">
        <v>25</v>
      </c>
      <c r="Q34" s="11">
        <v>0.23988000000000001</v>
      </c>
      <c r="R34" s="16">
        <v>0.24243999999999999</v>
      </c>
      <c r="S34" s="5">
        <v>0.23557</v>
      </c>
      <c r="T34" s="16">
        <v>0.21528</v>
      </c>
      <c r="U34" s="16">
        <v>0.21837999999999999</v>
      </c>
      <c r="V34" s="16">
        <v>0.21765999999999999</v>
      </c>
      <c r="W34" s="6">
        <v>0.80600000000000005</v>
      </c>
      <c r="X34" s="18">
        <v>0.82509999999999994</v>
      </c>
      <c r="Y34" s="22">
        <v>0.82250999999999996</v>
      </c>
    </row>
    <row r="35" spans="4:25" x14ac:dyDescent="0.25">
      <c r="D35" s="21" t="s">
        <v>45</v>
      </c>
      <c r="E35" s="11">
        <v>0.27711000000000002</v>
      </c>
      <c r="F35" s="16">
        <v>0.26878000000000002</v>
      </c>
      <c r="G35" s="5">
        <v>0.27825</v>
      </c>
      <c r="H35" s="16">
        <v>0.29116999999999998</v>
      </c>
      <c r="I35" s="5">
        <v>0.28538000000000002</v>
      </c>
      <c r="J35" s="16">
        <v>0.29701</v>
      </c>
      <c r="K35" s="6">
        <v>0.90317999999999998</v>
      </c>
      <c r="L35" s="18">
        <v>0.86858999999999997</v>
      </c>
      <c r="M35" s="22">
        <v>0.89531000000000005</v>
      </c>
      <c r="P35" s="21" t="s">
        <v>45</v>
      </c>
      <c r="Q35" s="11">
        <v>0.30204999999999999</v>
      </c>
      <c r="R35" s="16">
        <v>0.30568000000000001</v>
      </c>
      <c r="S35" s="5">
        <v>0.29143999999999998</v>
      </c>
      <c r="T35" s="16">
        <v>0.26322000000000001</v>
      </c>
      <c r="U35" s="16">
        <v>0.26585999999999999</v>
      </c>
      <c r="V35" s="16">
        <v>0.26518999999999998</v>
      </c>
      <c r="W35" s="6">
        <v>0.55379</v>
      </c>
      <c r="X35" s="18">
        <v>0.56257999999999997</v>
      </c>
      <c r="Y35" s="22">
        <v>0.54923</v>
      </c>
    </row>
    <row r="36" spans="4:25" x14ac:dyDescent="0.25">
      <c r="D36" s="21" t="s">
        <v>26</v>
      </c>
      <c r="E36" s="11">
        <v>0.15311</v>
      </c>
      <c r="F36" s="16">
        <v>0.13547000000000001</v>
      </c>
      <c r="G36" s="5">
        <v>0.15343000000000001</v>
      </c>
      <c r="H36" s="16">
        <v>0.14072000000000001</v>
      </c>
      <c r="I36" s="5">
        <v>0.12673999999999999</v>
      </c>
      <c r="J36" s="16">
        <v>0.14391999999999999</v>
      </c>
      <c r="K36" s="6">
        <v>0.33981</v>
      </c>
      <c r="L36" s="18">
        <v>0.30987999999999999</v>
      </c>
      <c r="M36" s="22">
        <v>0.35885</v>
      </c>
      <c r="P36" s="21" t="s">
        <v>26</v>
      </c>
      <c r="Q36" s="11">
        <v>0.26367000000000002</v>
      </c>
      <c r="R36" s="16">
        <v>0.26405000000000001</v>
      </c>
      <c r="S36" s="5">
        <v>0.25596999999999998</v>
      </c>
      <c r="T36" s="16">
        <v>0.22756999999999999</v>
      </c>
      <c r="U36" s="16">
        <v>0.23074</v>
      </c>
      <c r="V36" s="16">
        <v>0.23122999999999999</v>
      </c>
      <c r="W36" s="6">
        <v>0.59177999999999997</v>
      </c>
      <c r="X36" s="18">
        <v>0.60365000000000002</v>
      </c>
      <c r="Y36" s="22">
        <v>0.58167999999999997</v>
      </c>
    </row>
    <row r="37" spans="4:25" x14ac:dyDescent="0.25">
      <c r="D37" s="21" t="s">
        <v>27</v>
      </c>
      <c r="E37" s="11">
        <v>0.29418</v>
      </c>
      <c r="F37" s="16">
        <v>0.29126000000000002</v>
      </c>
      <c r="G37" s="5">
        <v>0.26068000000000002</v>
      </c>
      <c r="H37" s="16">
        <v>0.28665000000000002</v>
      </c>
      <c r="I37" s="5">
        <v>0.27939000000000003</v>
      </c>
      <c r="J37" s="16">
        <v>0.27282000000000001</v>
      </c>
      <c r="K37" s="6">
        <v>0.43373</v>
      </c>
      <c r="L37" s="18">
        <v>0.39854000000000001</v>
      </c>
      <c r="M37" s="22">
        <v>0.43348999999999999</v>
      </c>
      <c r="P37" s="21" t="s">
        <v>27</v>
      </c>
      <c r="Q37" s="11">
        <v>0.28412999999999999</v>
      </c>
      <c r="R37" s="16">
        <v>0.28377000000000002</v>
      </c>
      <c r="S37" s="5">
        <v>0.25057000000000001</v>
      </c>
      <c r="T37" s="16">
        <v>0.24865000000000001</v>
      </c>
      <c r="U37" s="16">
        <v>0.25147999999999998</v>
      </c>
      <c r="V37" s="16">
        <v>0.23851</v>
      </c>
      <c r="W37" s="6">
        <v>0.58079000000000003</v>
      </c>
      <c r="X37" s="18">
        <v>0.65095000000000003</v>
      </c>
      <c r="Y37" s="22">
        <v>0.56581999999999999</v>
      </c>
    </row>
    <row r="38" spans="4:25" x14ac:dyDescent="0.25">
      <c r="D38" s="21" t="s">
        <v>28</v>
      </c>
      <c r="E38" s="11">
        <v>0.32179000000000002</v>
      </c>
      <c r="F38" s="16">
        <v>0.31175000000000003</v>
      </c>
      <c r="G38" s="5">
        <v>0.31495000000000001</v>
      </c>
      <c r="H38" s="16">
        <v>0.41326000000000002</v>
      </c>
      <c r="I38" s="5">
        <v>0.39663999999999999</v>
      </c>
      <c r="J38" s="16">
        <v>0.41020000000000001</v>
      </c>
      <c r="K38" s="6">
        <v>1.48821</v>
      </c>
      <c r="L38" s="18">
        <v>1.4331400000000001</v>
      </c>
      <c r="M38" s="22">
        <v>1.4564600000000001</v>
      </c>
      <c r="P38" s="21" t="s">
        <v>28</v>
      </c>
      <c r="Q38" s="11">
        <v>0.27572000000000002</v>
      </c>
      <c r="R38" s="16">
        <v>0.28037000000000001</v>
      </c>
      <c r="S38" s="5">
        <v>0.26561000000000001</v>
      </c>
      <c r="T38" s="16">
        <v>0.25418000000000002</v>
      </c>
      <c r="U38" s="16">
        <v>0.25842999999999999</v>
      </c>
      <c r="V38" s="16">
        <v>0.25375999999999999</v>
      </c>
      <c r="W38" s="6">
        <v>0.33507999999999999</v>
      </c>
      <c r="X38" s="18">
        <v>0.33621000000000001</v>
      </c>
      <c r="Y38" s="22">
        <v>0.33467000000000002</v>
      </c>
    </row>
    <row r="39" spans="4:25" x14ac:dyDescent="0.25">
      <c r="D39" s="21" t="s">
        <v>39</v>
      </c>
      <c r="E39" s="11">
        <v>0.39102999999999999</v>
      </c>
      <c r="F39" s="16">
        <v>0.39266000000000001</v>
      </c>
      <c r="G39" s="5">
        <v>0.35998000000000002</v>
      </c>
      <c r="H39" s="16">
        <v>0.50509999999999999</v>
      </c>
      <c r="I39" s="5">
        <v>0.50394000000000005</v>
      </c>
      <c r="J39" s="16">
        <v>0.47055000000000002</v>
      </c>
      <c r="K39" s="6">
        <v>1.35562</v>
      </c>
      <c r="L39" s="18">
        <v>1.3575299999999999</v>
      </c>
      <c r="M39" s="22">
        <v>1.27274</v>
      </c>
      <c r="P39" s="21" t="s">
        <v>39</v>
      </c>
      <c r="Q39" s="11">
        <v>0.42385</v>
      </c>
      <c r="R39" s="16">
        <v>0.41942000000000002</v>
      </c>
      <c r="S39" s="5">
        <v>0.41980000000000001</v>
      </c>
      <c r="T39" s="16">
        <v>0.38808999999999999</v>
      </c>
      <c r="U39" s="16">
        <v>0.38572000000000001</v>
      </c>
      <c r="V39" s="16">
        <v>0.38444</v>
      </c>
      <c r="W39" s="6">
        <v>0.97187000000000001</v>
      </c>
      <c r="X39" s="18">
        <v>0.96531999999999996</v>
      </c>
      <c r="Y39" s="22">
        <v>0.96309</v>
      </c>
    </row>
    <row r="40" spans="4:25" x14ac:dyDescent="0.25">
      <c r="D40" s="23" t="s">
        <v>40</v>
      </c>
      <c r="E40" s="12">
        <v>0.46836</v>
      </c>
      <c r="F40" s="17">
        <v>0.43218000000000001</v>
      </c>
      <c r="G40" s="13">
        <v>0.46634999999999999</v>
      </c>
      <c r="H40" s="17">
        <v>0.62002999999999997</v>
      </c>
      <c r="I40" s="13">
        <v>0.55889999999999995</v>
      </c>
      <c r="J40" s="17">
        <v>0.61256999999999995</v>
      </c>
      <c r="K40" s="14">
        <v>0.8125</v>
      </c>
      <c r="L40" s="45">
        <v>0.76024999999999998</v>
      </c>
      <c r="M40" s="24">
        <v>0.7954</v>
      </c>
      <c r="P40" s="23" t="s">
        <v>40</v>
      </c>
      <c r="Q40" s="12">
        <v>0.46311000000000002</v>
      </c>
      <c r="R40" s="17">
        <v>0.47175</v>
      </c>
      <c r="S40" s="13">
        <v>0.47260000000000002</v>
      </c>
      <c r="T40" s="17">
        <v>0.46483999999999998</v>
      </c>
      <c r="U40" s="17">
        <v>0.46527000000000002</v>
      </c>
      <c r="V40" s="17">
        <v>0.46997</v>
      </c>
      <c r="W40" s="14">
        <v>0.46722000000000002</v>
      </c>
      <c r="X40" s="45">
        <v>0.46588000000000002</v>
      </c>
      <c r="Y40" s="24">
        <v>0.46614</v>
      </c>
    </row>
    <row r="41" spans="4:25" x14ac:dyDescent="0.25">
      <c r="E41" s="7">
        <f>AVERAGE(E26:E40)</f>
        <v>0.38330733333333333</v>
      </c>
      <c r="F41" s="7">
        <f t="shared" ref="F41:M41" si="0">AVERAGE(F26:F40)</f>
        <v>0.37032400000000004</v>
      </c>
      <c r="G41" s="7">
        <f t="shared" si="0"/>
        <v>0.37063266666666661</v>
      </c>
      <c r="H41" s="7">
        <f t="shared" si="0"/>
        <v>0.33635733333333329</v>
      </c>
      <c r="I41" s="7">
        <f t="shared" si="0"/>
        <v>0.32734533333333338</v>
      </c>
      <c r="J41" s="7">
        <f t="shared" si="0"/>
        <v>0.32756999999999997</v>
      </c>
      <c r="K41" s="7">
        <f t="shared" si="0"/>
        <v>0.80149266666666663</v>
      </c>
      <c r="L41" s="7">
        <f t="shared" si="0"/>
        <v>0.78177866666666662</v>
      </c>
      <c r="M41" s="7">
        <f t="shared" si="0"/>
        <v>0.78649533333333344</v>
      </c>
      <c r="Q41" s="7">
        <f>AVERAGE(Q26:Q40)</f>
        <v>0.31060266666666669</v>
      </c>
      <c r="R41" s="7">
        <f t="shared" ref="R41:Y41" si="1">AVERAGE(R26:R40)</f>
        <v>0.31118533333333337</v>
      </c>
      <c r="S41" s="7">
        <f t="shared" si="1"/>
        <v>0.30257933333333337</v>
      </c>
      <c r="T41" s="7">
        <f t="shared" si="1"/>
        <v>0.29442333333333331</v>
      </c>
      <c r="U41" s="7">
        <f t="shared" si="1"/>
        <v>0.29645266666666664</v>
      </c>
      <c r="V41" s="7">
        <f t="shared" si="1"/>
        <v>0.28907066666666664</v>
      </c>
      <c r="W41" s="7">
        <f t="shared" si="1"/>
        <v>0.65710066666666656</v>
      </c>
      <c r="X41" s="7">
        <f t="shared" si="1"/>
        <v>0.66853799999999997</v>
      </c>
      <c r="Y41" s="7">
        <f t="shared" si="1"/>
        <v>0.64983066666666656</v>
      </c>
    </row>
    <row r="42" spans="4:25" x14ac:dyDescent="0.25">
      <c r="D42" s="19" t="s">
        <v>41</v>
      </c>
      <c r="E42" s="174" t="s">
        <v>10</v>
      </c>
      <c r="F42" s="174"/>
      <c r="G42" s="174"/>
      <c r="H42" s="174" t="s">
        <v>11</v>
      </c>
      <c r="I42" s="174"/>
      <c r="J42" s="174"/>
      <c r="K42" s="174" t="s">
        <v>1</v>
      </c>
      <c r="L42" s="174"/>
      <c r="M42" s="174"/>
      <c r="P42" s="19" t="s">
        <v>34</v>
      </c>
      <c r="Q42" s="174" t="s">
        <v>10</v>
      </c>
      <c r="R42" s="174"/>
      <c r="S42" s="174"/>
      <c r="T42" s="174" t="s">
        <v>11</v>
      </c>
      <c r="U42" s="174"/>
      <c r="V42" s="174"/>
      <c r="W42" s="174" t="s">
        <v>1</v>
      </c>
      <c r="X42" s="174"/>
      <c r="Y42" s="174"/>
    </row>
    <row r="43" spans="4:25" x14ac:dyDescent="0.25">
      <c r="D43" s="20" t="s">
        <v>29</v>
      </c>
      <c r="E43" s="8" t="s">
        <v>5</v>
      </c>
      <c r="F43" s="15" t="s">
        <v>17</v>
      </c>
      <c r="G43" s="9" t="s">
        <v>8</v>
      </c>
      <c r="H43" s="15" t="s">
        <v>5</v>
      </c>
      <c r="I43" s="9" t="s">
        <v>17</v>
      </c>
      <c r="J43" s="15" t="s">
        <v>8</v>
      </c>
      <c r="K43" s="9" t="s">
        <v>5</v>
      </c>
      <c r="L43" s="15" t="s">
        <v>17</v>
      </c>
      <c r="M43" s="10" t="s">
        <v>8</v>
      </c>
      <c r="P43" s="20" t="s">
        <v>29</v>
      </c>
      <c r="Q43" s="8" t="s">
        <v>5</v>
      </c>
      <c r="R43" s="15" t="s">
        <v>17</v>
      </c>
      <c r="S43" s="9" t="s">
        <v>8</v>
      </c>
      <c r="T43" s="8" t="s">
        <v>5</v>
      </c>
      <c r="U43" s="15" t="s">
        <v>17</v>
      </c>
      <c r="V43" s="9" t="s">
        <v>8</v>
      </c>
      <c r="W43" s="8" t="s">
        <v>5</v>
      </c>
      <c r="X43" s="15" t="s">
        <v>17</v>
      </c>
      <c r="Y43" s="15" t="s">
        <v>8</v>
      </c>
    </row>
    <row r="44" spans="4:25" x14ac:dyDescent="0.25">
      <c r="D44" s="21" t="s">
        <v>20</v>
      </c>
      <c r="E44" s="11">
        <v>0.26962000000000003</v>
      </c>
      <c r="F44" s="16">
        <v>0.27091999999999999</v>
      </c>
      <c r="G44" s="5">
        <v>0.27462999999999999</v>
      </c>
      <c r="H44" s="16">
        <v>0.23561000000000001</v>
      </c>
      <c r="I44" s="5">
        <v>0.23683000000000001</v>
      </c>
      <c r="J44" s="16">
        <v>0.23885999999999999</v>
      </c>
      <c r="K44" s="6">
        <v>0.69786999999999999</v>
      </c>
      <c r="L44" s="18">
        <v>0.70379000000000003</v>
      </c>
      <c r="M44" s="22">
        <v>0.70004999999999995</v>
      </c>
      <c r="P44" s="21" t="s">
        <v>20</v>
      </c>
      <c r="Q44" s="11">
        <v>0.21859999999999999</v>
      </c>
      <c r="R44" s="16">
        <v>0.21582000000000001</v>
      </c>
      <c r="S44" s="5">
        <v>0.21239</v>
      </c>
      <c r="T44" s="16">
        <v>0.21915000000000001</v>
      </c>
      <c r="U44" s="5">
        <v>0.21767</v>
      </c>
      <c r="V44" s="16">
        <v>0.21439</v>
      </c>
      <c r="W44" s="6">
        <v>0.77505000000000002</v>
      </c>
      <c r="X44" s="18">
        <v>0.77161999999999997</v>
      </c>
      <c r="Y44" s="22">
        <v>0.76210999999999995</v>
      </c>
    </row>
    <row r="45" spans="4:25" x14ac:dyDescent="0.25">
      <c r="D45" s="21" t="s">
        <v>21</v>
      </c>
      <c r="E45" s="11">
        <v>0.60158999999999996</v>
      </c>
      <c r="F45" s="16">
        <v>0.59282000000000001</v>
      </c>
      <c r="G45" s="5">
        <v>0.60455000000000003</v>
      </c>
      <c r="H45" s="16">
        <v>0.51590000000000003</v>
      </c>
      <c r="I45" s="5">
        <v>0.52249000000000001</v>
      </c>
      <c r="J45" s="16">
        <v>0.50471999999999995</v>
      </c>
      <c r="K45" s="6">
        <v>1.2253700000000001</v>
      </c>
      <c r="L45" s="18">
        <v>1.22664</v>
      </c>
      <c r="M45" s="22">
        <v>1.2236400000000001</v>
      </c>
      <c r="P45" s="21" t="s">
        <v>21</v>
      </c>
      <c r="Q45" s="11">
        <v>0.26101999999999997</v>
      </c>
      <c r="R45" s="16">
        <v>0.26508999999999999</v>
      </c>
      <c r="S45" s="5">
        <v>0.27141999999999999</v>
      </c>
      <c r="T45" s="16">
        <v>0.26924999999999999</v>
      </c>
      <c r="U45" s="5">
        <v>0.27093</v>
      </c>
      <c r="V45" s="16">
        <v>0.26157000000000002</v>
      </c>
      <c r="W45" s="6">
        <v>0.49456</v>
      </c>
      <c r="X45" s="18">
        <v>0.50349999999999995</v>
      </c>
      <c r="Y45" s="22">
        <v>0.51344999999999996</v>
      </c>
    </row>
    <row r="46" spans="4:25" x14ac:dyDescent="0.25">
      <c r="D46" s="21" t="s">
        <v>22</v>
      </c>
      <c r="E46" s="11">
        <v>0.29449999999999998</v>
      </c>
      <c r="F46" s="16">
        <v>0.29491000000000001</v>
      </c>
      <c r="G46" s="5">
        <v>0.29710999999999999</v>
      </c>
      <c r="H46" s="16">
        <v>0.31359999999999999</v>
      </c>
      <c r="I46" s="5">
        <v>0.31884000000000001</v>
      </c>
      <c r="J46" s="16">
        <v>0.31608999999999998</v>
      </c>
      <c r="K46" s="6">
        <v>0.61553999999999998</v>
      </c>
      <c r="L46" s="18">
        <v>0.61538999999999999</v>
      </c>
      <c r="M46" s="22">
        <v>0.61724000000000001</v>
      </c>
      <c r="P46" s="21" t="s">
        <v>22</v>
      </c>
      <c r="Q46" s="11">
        <v>0.30220999999999998</v>
      </c>
      <c r="R46" s="16">
        <v>0.30829000000000001</v>
      </c>
      <c r="S46" s="5">
        <v>0.29880000000000001</v>
      </c>
      <c r="T46" s="16">
        <v>0.30436000000000002</v>
      </c>
      <c r="U46" s="5">
        <v>0.31490000000000001</v>
      </c>
      <c r="V46" s="16">
        <v>0.30155999999999999</v>
      </c>
      <c r="W46" s="6">
        <v>0.62751999999999997</v>
      </c>
      <c r="X46" s="18">
        <v>0.63470000000000004</v>
      </c>
      <c r="Y46" s="22">
        <v>0.61445000000000005</v>
      </c>
    </row>
    <row r="47" spans="4:25" x14ac:dyDescent="0.25">
      <c r="D47" s="21" t="s">
        <v>23</v>
      </c>
      <c r="E47" s="11">
        <v>0.23569000000000001</v>
      </c>
      <c r="F47" s="16">
        <v>0.21884999999999999</v>
      </c>
      <c r="G47" s="5">
        <v>0.2273</v>
      </c>
      <c r="H47" s="16">
        <v>0.25807999999999998</v>
      </c>
      <c r="I47" s="5">
        <v>0.24049000000000001</v>
      </c>
      <c r="J47" s="16">
        <v>0.24581</v>
      </c>
      <c r="K47" s="6">
        <v>0.43723000000000001</v>
      </c>
      <c r="L47" s="18">
        <v>0.41339999999999999</v>
      </c>
      <c r="M47" s="22">
        <v>0.43404999999999999</v>
      </c>
      <c r="P47" s="21" t="s">
        <v>23</v>
      </c>
      <c r="Q47" s="11">
        <v>0.26928000000000002</v>
      </c>
      <c r="R47" s="16">
        <v>0.26563999999999999</v>
      </c>
      <c r="S47" s="5">
        <v>0.26357999999999998</v>
      </c>
      <c r="T47" s="16">
        <v>0.28682000000000002</v>
      </c>
      <c r="U47" s="5">
        <v>0.28297</v>
      </c>
      <c r="V47" s="16">
        <v>0.27692</v>
      </c>
      <c r="W47" s="6">
        <v>0.62894000000000005</v>
      </c>
      <c r="X47" s="18">
        <v>0.62827</v>
      </c>
      <c r="Y47" s="22">
        <v>0.62395999999999996</v>
      </c>
    </row>
    <row r="48" spans="4:25" x14ac:dyDescent="0.25">
      <c r="D48" s="21" t="s">
        <v>37</v>
      </c>
      <c r="E48" s="11">
        <v>0.30990000000000001</v>
      </c>
      <c r="F48" s="16">
        <v>0.31209999999999999</v>
      </c>
      <c r="G48" s="5">
        <v>0.31425999999999998</v>
      </c>
      <c r="H48" s="16">
        <v>0.28178999999999998</v>
      </c>
      <c r="I48" s="5">
        <v>0.27973999999999999</v>
      </c>
      <c r="J48" s="16">
        <v>0.28172999999999998</v>
      </c>
      <c r="K48" s="6">
        <v>0.88143000000000005</v>
      </c>
      <c r="L48" s="18">
        <v>0.88083</v>
      </c>
      <c r="M48" s="22">
        <v>0.89683999999999997</v>
      </c>
      <c r="P48" s="21" t="s">
        <v>37</v>
      </c>
      <c r="Q48" s="11">
        <v>0.23463000000000001</v>
      </c>
      <c r="R48" s="16">
        <v>0.22972999999999999</v>
      </c>
      <c r="S48" s="5">
        <v>0.22861999999999999</v>
      </c>
      <c r="T48" s="16">
        <v>0.24310999999999999</v>
      </c>
      <c r="U48" s="5">
        <v>0.23746</v>
      </c>
      <c r="V48" s="16">
        <v>0.22720000000000001</v>
      </c>
      <c r="W48" s="6">
        <v>0.92728999999999995</v>
      </c>
      <c r="X48" s="18">
        <v>0.90595999999999999</v>
      </c>
      <c r="Y48" s="22">
        <v>0.86863000000000001</v>
      </c>
    </row>
    <row r="49" spans="4:25" x14ac:dyDescent="0.25">
      <c r="D49" s="21" t="s">
        <v>36</v>
      </c>
      <c r="E49" s="11">
        <v>0.46483999999999998</v>
      </c>
      <c r="F49" s="16">
        <v>0.49032999999999999</v>
      </c>
      <c r="G49" s="5">
        <v>0.47316999999999998</v>
      </c>
      <c r="H49" s="16">
        <v>0.49075000000000002</v>
      </c>
      <c r="I49" s="5">
        <v>0.51737</v>
      </c>
      <c r="J49" s="16">
        <v>0.46951999999999999</v>
      </c>
      <c r="K49" s="6">
        <v>0.44736999999999999</v>
      </c>
      <c r="L49" s="18">
        <v>0.50331000000000004</v>
      </c>
      <c r="M49" s="22">
        <v>0.41988999999999999</v>
      </c>
      <c r="P49" s="21" t="s">
        <v>36</v>
      </c>
      <c r="Q49" s="11">
        <v>0.42315000000000003</v>
      </c>
      <c r="R49" s="16">
        <v>0.42369000000000001</v>
      </c>
      <c r="S49" s="5">
        <v>0.43962000000000001</v>
      </c>
      <c r="T49" s="16">
        <v>0.43697999999999998</v>
      </c>
      <c r="U49" s="5">
        <v>0.45188</v>
      </c>
      <c r="V49" s="16">
        <v>0.42796000000000001</v>
      </c>
      <c r="W49" s="6">
        <v>0.76910999999999996</v>
      </c>
      <c r="X49" s="18">
        <v>0.79845999999999995</v>
      </c>
      <c r="Y49" s="22">
        <v>0.76748000000000005</v>
      </c>
    </row>
    <row r="50" spans="4:25" x14ac:dyDescent="0.25">
      <c r="D50" s="21" t="s">
        <v>38</v>
      </c>
      <c r="E50" s="11">
        <v>0.50188999999999995</v>
      </c>
      <c r="F50" s="16">
        <v>0.46920000000000001</v>
      </c>
      <c r="G50" s="5">
        <v>0.46432000000000001</v>
      </c>
      <c r="H50" s="16">
        <v>0.38352000000000003</v>
      </c>
      <c r="I50" s="5">
        <v>0.37012</v>
      </c>
      <c r="J50" s="16">
        <v>0.37409999999999999</v>
      </c>
      <c r="K50" s="6">
        <v>0.39168999999999998</v>
      </c>
      <c r="L50" s="18">
        <v>0.39901999999999999</v>
      </c>
      <c r="M50" s="22">
        <v>0.40798000000000001</v>
      </c>
      <c r="P50" s="21" t="s">
        <v>38</v>
      </c>
      <c r="Q50" s="11">
        <v>0.50731000000000004</v>
      </c>
      <c r="R50" s="16">
        <v>0.48361999999999999</v>
      </c>
      <c r="S50" s="5">
        <v>0.41808000000000001</v>
      </c>
      <c r="T50" s="16">
        <v>0.42616999999999999</v>
      </c>
      <c r="U50" s="5">
        <v>0.41461999999999999</v>
      </c>
      <c r="V50" s="16">
        <v>0.38739000000000001</v>
      </c>
      <c r="W50" s="6">
        <v>0.59728999999999999</v>
      </c>
      <c r="X50" s="18">
        <v>0.60209999999999997</v>
      </c>
      <c r="Y50" s="22">
        <v>0.58284000000000002</v>
      </c>
    </row>
    <row r="51" spans="4:25" x14ac:dyDescent="0.25">
      <c r="D51" s="21" t="s">
        <v>24</v>
      </c>
      <c r="E51" s="11">
        <v>0.53254000000000001</v>
      </c>
      <c r="F51" s="16">
        <v>0.50956000000000001</v>
      </c>
      <c r="G51" s="5">
        <v>0.53405000000000002</v>
      </c>
      <c r="H51" s="16">
        <v>0.28994999999999999</v>
      </c>
      <c r="I51" s="5">
        <v>0.28355999999999998</v>
      </c>
      <c r="J51" s="16">
        <v>0.29026000000000002</v>
      </c>
      <c r="K51" s="6">
        <v>0.58962000000000003</v>
      </c>
      <c r="L51" s="18">
        <v>0.56345999999999996</v>
      </c>
      <c r="M51" s="22">
        <v>0.58677999999999997</v>
      </c>
      <c r="P51" s="21" t="s">
        <v>24</v>
      </c>
      <c r="Q51" s="11">
        <v>0.20716999999999999</v>
      </c>
      <c r="R51" s="16">
        <v>0.20354</v>
      </c>
      <c r="S51" s="5">
        <v>0.19943</v>
      </c>
      <c r="T51" s="16">
        <v>0.21748000000000001</v>
      </c>
      <c r="U51" s="5">
        <v>0.21457999999999999</v>
      </c>
      <c r="V51" s="16">
        <v>0.20785999999999999</v>
      </c>
      <c r="W51" s="6">
        <v>0.53566999999999998</v>
      </c>
      <c r="X51" s="18">
        <v>0.53198999999999996</v>
      </c>
      <c r="Y51" s="22">
        <v>0.50968000000000002</v>
      </c>
    </row>
    <row r="52" spans="4:25" x14ac:dyDescent="0.25">
      <c r="D52" s="21" t="s">
        <v>25</v>
      </c>
      <c r="E52" s="11">
        <v>0.23316000000000001</v>
      </c>
      <c r="F52" s="16">
        <v>0.21840999999999999</v>
      </c>
      <c r="G52" s="5">
        <v>0.21443999999999999</v>
      </c>
      <c r="H52" s="16">
        <v>0.20329</v>
      </c>
      <c r="I52" s="5">
        <v>0.19220999999999999</v>
      </c>
      <c r="J52" s="16">
        <v>0.19058</v>
      </c>
      <c r="K52" s="6">
        <v>0.7651</v>
      </c>
      <c r="L52" s="18">
        <v>0.72019</v>
      </c>
      <c r="M52" s="22">
        <v>0.71203000000000005</v>
      </c>
      <c r="P52" s="21" t="s">
        <v>25</v>
      </c>
      <c r="Q52" s="11">
        <v>0.26587</v>
      </c>
      <c r="R52" s="16">
        <v>0.26807999999999998</v>
      </c>
      <c r="S52" s="5">
        <v>0.25701000000000002</v>
      </c>
      <c r="T52" s="16">
        <v>0.22919</v>
      </c>
      <c r="U52" s="5">
        <v>0.23291999999999999</v>
      </c>
      <c r="V52" s="16">
        <v>0.22857</v>
      </c>
      <c r="W52" s="6">
        <v>0.88036999999999999</v>
      </c>
      <c r="X52" s="18">
        <v>0.89578000000000002</v>
      </c>
      <c r="Y52" s="22">
        <v>0.88748000000000005</v>
      </c>
    </row>
    <row r="53" spans="4:25" x14ac:dyDescent="0.25">
      <c r="D53" s="21" t="s">
        <v>45</v>
      </c>
      <c r="E53" s="11">
        <v>0.26449</v>
      </c>
      <c r="F53" s="16">
        <v>0.26673999999999998</v>
      </c>
      <c r="G53" s="5">
        <v>0.26665</v>
      </c>
      <c r="H53" s="16">
        <v>0.29499999999999998</v>
      </c>
      <c r="I53" s="5">
        <v>0.29848999999999998</v>
      </c>
      <c r="J53" s="16">
        <v>0.30269000000000001</v>
      </c>
      <c r="K53" s="6">
        <v>0.89802999999999999</v>
      </c>
      <c r="L53" s="18">
        <v>0.90105000000000002</v>
      </c>
      <c r="M53" s="22">
        <v>0.91119000000000006</v>
      </c>
      <c r="P53" s="21" t="s">
        <v>45</v>
      </c>
      <c r="Q53" s="11">
        <v>0.33861000000000002</v>
      </c>
      <c r="R53" s="16">
        <v>0.33804000000000001</v>
      </c>
      <c r="S53" s="5">
        <v>0.31952000000000003</v>
      </c>
      <c r="T53" s="16">
        <v>0.27884999999999999</v>
      </c>
      <c r="U53" s="5">
        <v>0.27725</v>
      </c>
      <c r="V53" s="16">
        <v>0.2737</v>
      </c>
      <c r="W53" s="6">
        <v>0.58638000000000001</v>
      </c>
      <c r="X53" s="18">
        <v>0.58938000000000001</v>
      </c>
      <c r="Y53" s="22">
        <v>0.56937000000000004</v>
      </c>
    </row>
    <row r="54" spans="4:25" x14ac:dyDescent="0.25">
      <c r="D54" s="21" t="s">
        <v>26</v>
      </c>
      <c r="E54" s="11">
        <v>0.21904999999999999</v>
      </c>
      <c r="F54" s="16">
        <v>0.21435999999999999</v>
      </c>
      <c r="G54" s="5">
        <v>0.21604999999999999</v>
      </c>
      <c r="H54" s="16">
        <v>0.22209999999999999</v>
      </c>
      <c r="I54" s="5">
        <v>0.22198999999999999</v>
      </c>
      <c r="J54" s="16">
        <v>0.22397</v>
      </c>
      <c r="K54" s="6">
        <v>0.57472999999999996</v>
      </c>
      <c r="L54" s="18">
        <v>0.57018000000000002</v>
      </c>
      <c r="M54" s="22">
        <v>0.57648999999999995</v>
      </c>
      <c r="P54" s="21" t="s">
        <v>26</v>
      </c>
      <c r="Q54" s="11">
        <v>0.28512999999999999</v>
      </c>
      <c r="R54" s="16">
        <v>0.28405999999999998</v>
      </c>
      <c r="S54" s="5">
        <v>0.26723000000000002</v>
      </c>
      <c r="T54" s="16">
        <v>0.24321999999999999</v>
      </c>
      <c r="U54" s="5">
        <v>0.24490999999999999</v>
      </c>
      <c r="V54" s="16">
        <v>0.23866999999999999</v>
      </c>
      <c r="W54" s="6">
        <v>0.66444000000000003</v>
      </c>
      <c r="X54" s="18">
        <v>0.67467999999999995</v>
      </c>
      <c r="Y54" s="22">
        <v>0.61870000000000003</v>
      </c>
    </row>
    <row r="55" spans="4:25" x14ac:dyDescent="0.25">
      <c r="D55" s="21" t="s">
        <v>27</v>
      </c>
      <c r="E55" s="11">
        <v>0.26436999999999999</v>
      </c>
      <c r="F55" s="16">
        <v>0.26457999999999998</v>
      </c>
      <c r="G55" s="5">
        <v>0.24482999999999999</v>
      </c>
      <c r="H55" s="16">
        <v>0.26840999999999998</v>
      </c>
      <c r="I55" s="5">
        <v>0.27454000000000001</v>
      </c>
      <c r="J55" s="16">
        <v>0.26884999999999998</v>
      </c>
      <c r="K55" s="6">
        <v>0.41699000000000003</v>
      </c>
      <c r="L55" s="18">
        <v>0.41948000000000002</v>
      </c>
      <c r="M55" s="22">
        <v>0.41492000000000001</v>
      </c>
      <c r="P55" s="21" t="s">
        <v>27</v>
      </c>
      <c r="Q55" s="11">
        <v>0.30485000000000001</v>
      </c>
      <c r="R55" s="16">
        <v>0.30113000000000001</v>
      </c>
      <c r="S55" s="5">
        <v>0.26102999999999998</v>
      </c>
      <c r="T55" s="16">
        <v>0.25871</v>
      </c>
      <c r="U55" s="5">
        <v>0.26135000000000003</v>
      </c>
      <c r="V55" s="16">
        <v>0.24149999999999999</v>
      </c>
      <c r="W55" s="6">
        <v>0.62831999999999999</v>
      </c>
      <c r="X55" s="18">
        <v>0.67445999999999995</v>
      </c>
      <c r="Y55" s="22">
        <v>0.60512999999999995</v>
      </c>
    </row>
    <row r="56" spans="4:25" x14ac:dyDescent="0.25">
      <c r="D56" s="21" t="s">
        <v>28</v>
      </c>
      <c r="E56" s="11">
        <v>0.33585999999999999</v>
      </c>
      <c r="F56" s="16">
        <v>0.32388</v>
      </c>
      <c r="G56" s="5">
        <v>0.33455000000000001</v>
      </c>
      <c r="H56" s="16">
        <v>0.34308</v>
      </c>
      <c r="I56" s="5">
        <v>0.33277000000000001</v>
      </c>
      <c r="J56" s="16">
        <v>0.34708</v>
      </c>
      <c r="K56" s="6">
        <v>0.75019999999999998</v>
      </c>
      <c r="L56" s="18">
        <v>0.73346</v>
      </c>
      <c r="M56" s="22">
        <v>0.75105</v>
      </c>
      <c r="P56" s="21" t="s">
        <v>28</v>
      </c>
      <c r="Q56" s="11">
        <v>0.29074</v>
      </c>
      <c r="R56" s="16">
        <v>0.29308000000000001</v>
      </c>
      <c r="S56" s="5">
        <v>0.27594000000000002</v>
      </c>
      <c r="T56" s="16">
        <v>0.26729000000000003</v>
      </c>
      <c r="U56" s="5">
        <v>0.26962999999999998</v>
      </c>
      <c r="V56" s="16">
        <v>0.26355000000000001</v>
      </c>
      <c r="W56" s="6">
        <v>0.36431000000000002</v>
      </c>
      <c r="X56" s="18">
        <v>0.36277999999999999</v>
      </c>
      <c r="Y56" s="22">
        <v>0.36412</v>
      </c>
    </row>
    <row r="57" spans="4:25" x14ac:dyDescent="0.25">
      <c r="D57" s="21" t="s">
        <v>39</v>
      </c>
      <c r="E57" s="11">
        <v>0.35006999999999999</v>
      </c>
      <c r="F57" s="16">
        <v>0.35008</v>
      </c>
      <c r="G57" s="5">
        <v>0.32052000000000003</v>
      </c>
      <c r="H57" s="16">
        <v>0.40898000000000001</v>
      </c>
      <c r="I57" s="5">
        <v>0.40776000000000001</v>
      </c>
      <c r="J57" s="16">
        <v>0.37513999999999997</v>
      </c>
      <c r="K57" s="6">
        <v>0.99324999999999997</v>
      </c>
      <c r="L57" s="18">
        <v>0.99378999999999995</v>
      </c>
      <c r="M57" s="22">
        <v>0.92766999999999999</v>
      </c>
      <c r="P57" s="21" t="s">
        <v>39</v>
      </c>
      <c r="Q57" s="11">
        <v>0.42979000000000001</v>
      </c>
      <c r="R57" s="16">
        <v>0.42818000000000001</v>
      </c>
      <c r="S57" s="5">
        <v>0.42859999999999998</v>
      </c>
      <c r="T57" s="16">
        <v>0.39439000000000002</v>
      </c>
      <c r="U57" s="5">
        <v>0.39348</v>
      </c>
      <c r="V57" s="16">
        <v>0.39129000000000003</v>
      </c>
      <c r="W57" s="6">
        <v>0.99787000000000003</v>
      </c>
      <c r="X57" s="18">
        <v>0.99609000000000003</v>
      </c>
      <c r="Y57" s="22">
        <v>0.99324000000000001</v>
      </c>
    </row>
    <row r="58" spans="4:25" x14ac:dyDescent="0.25">
      <c r="D58" s="23" t="s">
        <v>40</v>
      </c>
      <c r="E58" s="12">
        <v>0.4919</v>
      </c>
      <c r="F58" s="17">
        <v>0.47448000000000001</v>
      </c>
      <c r="G58" s="13">
        <v>0.49826999999999999</v>
      </c>
      <c r="H58" s="17">
        <v>0.56423999999999996</v>
      </c>
      <c r="I58" s="13">
        <v>0.54998000000000002</v>
      </c>
      <c r="J58" s="17">
        <v>0.55964000000000003</v>
      </c>
      <c r="K58" s="14">
        <v>0.53964999999999996</v>
      </c>
      <c r="L58" s="45">
        <v>0.51509000000000005</v>
      </c>
      <c r="M58" s="24">
        <v>0.53730999999999995</v>
      </c>
      <c r="P58" s="23" t="s">
        <v>40</v>
      </c>
      <c r="Q58" s="12">
        <v>0.47323999999999999</v>
      </c>
      <c r="R58" s="17">
        <v>0.46622000000000002</v>
      </c>
      <c r="S58" s="13">
        <v>0.45773999999999998</v>
      </c>
      <c r="T58" s="17">
        <v>0.47084999999999999</v>
      </c>
      <c r="U58" s="13">
        <v>0.46698000000000001</v>
      </c>
      <c r="V58" s="17">
        <v>0.45178000000000001</v>
      </c>
      <c r="W58" s="14">
        <v>0.47297</v>
      </c>
      <c r="X58" s="45">
        <v>0.46875</v>
      </c>
      <c r="Y58" s="24">
        <v>0.45854</v>
      </c>
    </row>
    <row r="59" spans="4:25" x14ac:dyDescent="0.25">
      <c r="E59" s="7">
        <f>AVERAGE(E44:E58)</f>
        <v>0.35796466666666665</v>
      </c>
      <c r="F59" s="7">
        <f t="shared" ref="F59:M59" si="2">AVERAGE(F44:F58)</f>
        <v>0.35141466666666665</v>
      </c>
      <c r="G59" s="7">
        <f t="shared" si="2"/>
        <v>0.35231333333333331</v>
      </c>
      <c r="H59" s="7">
        <f t="shared" si="2"/>
        <v>0.33828666666666662</v>
      </c>
      <c r="I59" s="7">
        <f t="shared" si="2"/>
        <v>0.33647866666666665</v>
      </c>
      <c r="J59" s="7">
        <f t="shared" si="2"/>
        <v>0.33260266666666666</v>
      </c>
      <c r="K59" s="7">
        <f t="shared" si="2"/>
        <v>0.68160466666666664</v>
      </c>
      <c r="L59" s="7">
        <f t="shared" si="2"/>
        <v>0.6772720000000001</v>
      </c>
      <c r="M59" s="7">
        <f t="shared" si="2"/>
        <v>0.67447533333333343</v>
      </c>
      <c r="Q59" s="7">
        <f>AVERAGE(Q44:Q58)</f>
        <v>0.32077333333333335</v>
      </c>
      <c r="R59" s="7">
        <f t="shared" ref="R59:Y59" si="3">AVERAGE(R44:R58)</f>
        <v>0.31828066666666666</v>
      </c>
      <c r="S59" s="7">
        <f t="shared" si="3"/>
        <v>0.30660066666666669</v>
      </c>
      <c r="T59" s="7">
        <f t="shared" si="3"/>
        <v>0.30305466666666675</v>
      </c>
      <c r="U59" s="7">
        <f t="shared" si="3"/>
        <v>0.30343533333333339</v>
      </c>
      <c r="V59" s="7">
        <f t="shared" si="3"/>
        <v>0.29292733333333332</v>
      </c>
      <c r="W59" s="7">
        <f t="shared" si="3"/>
        <v>0.66333933333333328</v>
      </c>
      <c r="X59" s="7">
        <f t="shared" si="3"/>
        <v>0.66923466666666676</v>
      </c>
      <c r="Y59" s="7">
        <f t="shared" si="3"/>
        <v>0.64927866666666678</v>
      </c>
    </row>
    <row r="60" spans="4:25" x14ac:dyDescent="0.25">
      <c r="D60" s="19" t="s">
        <v>43</v>
      </c>
      <c r="E60" s="174" t="s">
        <v>10</v>
      </c>
      <c r="F60" s="174"/>
      <c r="G60" s="174"/>
      <c r="H60" s="174" t="s">
        <v>11</v>
      </c>
      <c r="I60" s="174"/>
      <c r="J60" s="174"/>
      <c r="K60" s="174" t="s">
        <v>1</v>
      </c>
      <c r="L60" s="174"/>
      <c r="M60" s="174"/>
      <c r="P60" s="19" t="s">
        <v>35</v>
      </c>
      <c r="Q60" s="174" t="s">
        <v>10</v>
      </c>
      <c r="R60" s="174"/>
      <c r="S60" s="174"/>
      <c r="T60" s="174" t="s">
        <v>11</v>
      </c>
      <c r="U60" s="174"/>
      <c r="V60" s="174"/>
      <c r="W60" s="174" t="s">
        <v>1</v>
      </c>
      <c r="X60" s="174"/>
      <c r="Y60" s="174"/>
    </row>
    <row r="61" spans="4:25" x14ac:dyDescent="0.25">
      <c r="D61" s="20" t="s">
        <v>29</v>
      </c>
      <c r="E61" s="8" t="s">
        <v>5</v>
      </c>
      <c r="F61" s="15" t="s">
        <v>17</v>
      </c>
      <c r="G61" s="9" t="s">
        <v>8</v>
      </c>
      <c r="H61" s="15" t="s">
        <v>5</v>
      </c>
      <c r="I61" s="9" t="s">
        <v>17</v>
      </c>
      <c r="J61" s="15" t="s">
        <v>8</v>
      </c>
      <c r="K61" s="9" t="s">
        <v>5</v>
      </c>
      <c r="L61" s="15" t="s">
        <v>17</v>
      </c>
      <c r="M61" s="10" t="s">
        <v>8</v>
      </c>
      <c r="P61" s="20" t="s">
        <v>29</v>
      </c>
      <c r="Q61" s="8" t="s">
        <v>5</v>
      </c>
      <c r="R61" s="15" t="s">
        <v>17</v>
      </c>
      <c r="S61" s="9" t="s">
        <v>8</v>
      </c>
      <c r="T61" s="8" t="s">
        <v>5</v>
      </c>
      <c r="U61" s="15" t="s">
        <v>17</v>
      </c>
      <c r="V61" s="9" t="s">
        <v>8</v>
      </c>
      <c r="W61" s="8" t="s">
        <v>5</v>
      </c>
      <c r="X61" s="15" t="s">
        <v>17</v>
      </c>
      <c r="Y61" s="15" t="s">
        <v>8</v>
      </c>
    </row>
    <row r="62" spans="4:25" x14ac:dyDescent="0.25">
      <c r="D62" s="21" t="s">
        <v>20</v>
      </c>
      <c r="E62" s="11">
        <v>0.24612000000000001</v>
      </c>
      <c r="F62" s="16">
        <v>0.25441000000000003</v>
      </c>
      <c r="G62" s="5">
        <v>0.25024000000000002</v>
      </c>
      <c r="H62" s="16">
        <v>0.21604999999999999</v>
      </c>
      <c r="I62" s="5">
        <v>0.22173000000000001</v>
      </c>
      <c r="J62" s="16">
        <v>0.21951999999999999</v>
      </c>
      <c r="K62" s="6">
        <v>0.66688000000000003</v>
      </c>
      <c r="L62" s="18">
        <v>0.68559000000000003</v>
      </c>
      <c r="M62" s="22">
        <v>0.67176999999999998</v>
      </c>
      <c r="P62" s="21" t="s">
        <v>20</v>
      </c>
      <c r="Q62" s="11">
        <v>0.20724000000000001</v>
      </c>
      <c r="R62" s="16">
        <v>0.20308999999999999</v>
      </c>
      <c r="S62" s="5">
        <v>0.20200000000000001</v>
      </c>
      <c r="T62" s="16">
        <v>0.21121000000000001</v>
      </c>
      <c r="U62" s="5">
        <v>0.20768</v>
      </c>
      <c r="V62" s="16">
        <v>0.20732</v>
      </c>
      <c r="W62" s="6">
        <v>0.74221999999999999</v>
      </c>
      <c r="X62" s="18">
        <v>0.73184000000000005</v>
      </c>
      <c r="Y62" s="22">
        <v>0.73475999999999997</v>
      </c>
    </row>
    <row r="63" spans="4:25" x14ac:dyDescent="0.25">
      <c r="D63" s="21" t="s">
        <v>21</v>
      </c>
      <c r="E63" s="11">
        <v>0.40705000000000002</v>
      </c>
      <c r="F63" s="16">
        <v>0.40104000000000001</v>
      </c>
      <c r="G63" s="5">
        <v>0.42110999999999998</v>
      </c>
      <c r="H63" s="16">
        <v>0.38896999999999998</v>
      </c>
      <c r="I63" s="5">
        <v>0.38764999999999999</v>
      </c>
      <c r="J63" s="16">
        <v>0.38993</v>
      </c>
      <c r="K63" s="6">
        <v>0.81537000000000004</v>
      </c>
      <c r="L63" s="18">
        <v>0.80052000000000001</v>
      </c>
      <c r="M63" s="22">
        <v>0.81852999999999998</v>
      </c>
      <c r="P63" s="21" t="s">
        <v>21</v>
      </c>
      <c r="Q63" s="11">
        <v>0.29547000000000001</v>
      </c>
      <c r="R63" s="16">
        <v>0.29575000000000001</v>
      </c>
      <c r="S63" s="5">
        <v>0.30417</v>
      </c>
      <c r="T63" s="16">
        <v>0.28691</v>
      </c>
      <c r="U63" s="5">
        <v>0.28600999999999999</v>
      </c>
      <c r="V63" s="16">
        <v>0.27426</v>
      </c>
      <c r="W63" s="6">
        <v>0.67791000000000001</v>
      </c>
      <c r="X63" s="18">
        <v>0.70013999999999998</v>
      </c>
      <c r="Y63" s="22">
        <v>0.70408000000000004</v>
      </c>
    </row>
    <row r="64" spans="4:25" x14ac:dyDescent="0.25">
      <c r="D64" s="21" t="s">
        <v>22</v>
      </c>
      <c r="E64" s="11">
        <v>0.32247999999999999</v>
      </c>
      <c r="F64" s="16">
        <v>0.31869999999999998</v>
      </c>
      <c r="G64" s="5">
        <v>0.32019999999999998</v>
      </c>
      <c r="H64" s="16">
        <v>0.33284999999999998</v>
      </c>
      <c r="I64" s="5">
        <v>0.33333000000000002</v>
      </c>
      <c r="J64" s="16">
        <v>0.33243</v>
      </c>
      <c r="K64" s="6">
        <v>0.78422999999999998</v>
      </c>
      <c r="L64" s="18">
        <v>0.77766999999999997</v>
      </c>
      <c r="M64" s="22">
        <v>0.77936000000000005</v>
      </c>
      <c r="P64" s="21" t="s">
        <v>22</v>
      </c>
      <c r="Q64" s="11">
        <v>0.30897000000000002</v>
      </c>
      <c r="R64" s="16">
        <v>0.31220999999999999</v>
      </c>
      <c r="S64" s="5">
        <v>0.30323</v>
      </c>
      <c r="T64" s="16">
        <v>0.31389</v>
      </c>
      <c r="U64" s="5">
        <v>0.32178000000000001</v>
      </c>
      <c r="V64" s="16">
        <v>0.30987999999999999</v>
      </c>
      <c r="W64" s="6">
        <v>0.70133000000000001</v>
      </c>
      <c r="X64" s="18">
        <v>0.70238</v>
      </c>
      <c r="Y64" s="22">
        <v>0.68184999999999996</v>
      </c>
    </row>
    <row r="65" spans="4:25" x14ac:dyDescent="0.25">
      <c r="D65" s="21" t="s">
        <v>23</v>
      </c>
      <c r="E65" s="11">
        <v>0.314</v>
      </c>
      <c r="F65" s="16">
        <v>0.30742000000000003</v>
      </c>
      <c r="G65" s="5">
        <v>0.30534</v>
      </c>
      <c r="H65" s="16">
        <v>0.36403999999999997</v>
      </c>
      <c r="I65" s="5">
        <v>0.35476999999999997</v>
      </c>
      <c r="J65" s="16">
        <v>0.35015000000000002</v>
      </c>
      <c r="K65" s="6">
        <v>0.63026000000000004</v>
      </c>
      <c r="L65" s="18">
        <v>0.61275999999999997</v>
      </c>
      <c r="M65" s="22">
        <v>0.61177999999999999</v>
      </c>
      <c r="P65" s="21" t="s">
        <v>23</v>
      </c>
      <c r="Q65" s="11">
        <v>0.30168</v>
      </c>
      <c r="R65" s="16">
        <v>0.29865000000000003</v>
      </c>
      <c r="S65" s="5">
        <v>0.29015999999999997</v>
      </c>
      <c r="T65" s="16">
        <v>0.30315999999999999</v>
      </c>
      <c r="U65" s="5">
        <v>0.29947000000000001</v>
      </c>
      <c r="V65" s="16">
        <v>0.28766999999999998</v>
      </c>
      <c r="W65" s="6">
        <v>0.67432000000000003</v>
      </c>
      <c r="X65" s="18">
        <v>0.67198999999999998</v>
      </c>
      <c r="Y65" s="22">
        <v>0.66315000000000002</v>
      </c>
    </row>
    <row r="66" spans="4:25" x14ac:dyDescent="0.25">
      <c r="D66" s="21" t="s">
        <v>37</v>
      </c>
      <c r="E66" s="11">
        <v>0.29365999999999998</v>
      </c>
      <c r="F66" s="16">
        <v>0.29547000000000001</v>
      </c>
      <c r="G66" s="5">
        <v>0.30471999999999999</v>
      </c>
      <c r="H66" s="16">
        <v>0.27267000000000002</v>
      </c>
      <c r="I66" s="5">
        <v>0.26772000000000001</v>
      </c>
      <c r="J66" s="16">
        <v>0.27523999999999998</v>
      </c>
      <c r="K66" s="6">
        <v>0.85436999999999996</v>
      </c>
      <c r="L66" s="18">
        <v>0.83781000000000005</v>
      </c>
      <c r="M66" s="22">
        <v>0.86292000000000002</v>
      </c>
      <c r="P66" s="21" t="s">
        <v>37</v>
      </c>
      <c r="Q66" s="11">
        <v>0.32593</v>
      </c>
      <c r="R66" s="16">
        <v>0.32135999999999998</v>
      </c>
      <c r="S66" s="5">
        <v>0.32529000000000002</v>
      </c>
      <c r="T66" s="16">
        <v>0.2671</v>
      </c>
      <c r="U66" s="5">
        <v>0.25908999999999999</v>
      </c>
      <c r="V66" s="16">
        <v>0.24937000000000001</v>
      </c>
      <c r="W66" s="6">
        <v>0.96560999999999997</v>
      </c>
      <c r="X66" s="18">
        <v>0.93738999999999995</v>
      </c>
      <c r="Y66" s="22">
        <v>0.90505999999999998</v>
      </c>
    </row>
    <row r="67" spans="4:25" x14ac:dyDescent="0.25">
      <c r="D67" s="21" t="s">
        <v>36</v>
      </c>
      <c r="E67" s="11">
        <v>0.69825000000000004</v>
      </c>
      <c r="F67" s="16">
        <v>0.68389</v>
      </c>
      <c r="G67" s="5">
        <v>0.69055999999999995</v>
      </c>
      <c r="H67" s="16">
        <v>0.61514000000000002</v>
      </c>
      <c r="I67" s="5">
        <v>0.64902000000000004</v>
      </c>
      <c r="J67" s="16">
        <v>0.59160999999999997</v>
      </c>
      <c r="K67" s="6">
        <v>0.91222999999999999</v>
      </c>
      <c r="L67" s="18">
        <v>1.0684400000000001</v>
      </c>
      <c r="M67" s="22">
        <v>0.88314999999999999</v>
      </c>
      <c r="P67" s="21" t="s">
        <v>36</v>
      </c>
      <c r="Q67" s="11">
        <v>0.41160999999999998</v>
      </c>
      <c r="R67" s="16">
        <v>0.41752</v>
      </c>
      <c r="S67" s="5">
        <v>0.42720000000000002</v>
      </c>
      <c r="T67" s="16">
        <v>0.43719000000000002</v>
      </c>
      <c r="U67" s="5">
        <v>0.45347999999999999</v>
      </c>
      <c r="V67" s="16">
        <v>0.42973</v>
      </c>
      <c r="W67" s="6">
        <v>0.76017999999999997</v>
      </c>
      <c r="X67" s="18">
        <v>0.78132000000000001</v>
      </c>
      <c r="Y67" s="22">
        <v>0.76151000000000002</v>
      </c>
    </row>
    <row r="68" spans="4:25" x14ac:dyDescent="0.25">
      <c r="D68" s="21" t="s">
        <v>38</v>
      </c>
      <c r="E68" s="11">
        <v>0.46812999999999999</v>
      </c>
      <c r="F68" s="16">
        <v>0.44342999999999999</v>
      </c>
      <c r="G68" s="5">
        <v>0.42847000000000002</v>
      </c>
      <c r="H68" s="16">
        <v>0.39233000000000001</v>
      </c>
      <c r="I68" s="5">
        <v>0.38640999999999998</v>
      </c>
      <c r="J68" s="16">
        <v>0.38159999999999999</v>
      </c>
      <c r="K68" s="6">
        <v>0.43239</v>
      </c>
      <c r="L68" s="18">
        <v>0.44181999999999999</v>
      </c>
      <c r="M68" s="22">
        <v>0.43690000000000001</v>
      </c>
      <c r="P68" s="21" t="s">
        <v>38</v>
      </c>
      <c r="Q68" s="11">
        <v>0.52393000000000001</v>
      </c>
      <c r="R68" s="16">
        <v>0.49034</v>
      </c>
      <c r="S68" s="5">
        <v>0.42730000000000001</v>
      </c>
      <c r="T68" s="16">
        <v>0.43839</v>
      </c>
      <c r="U68" s="5">
        <v>0.42652000000000001</v>
      </c>
      <c r="V68" s="16">
        <v>0.39806999999999998</v>
      </c>
      <c r="W68" s="6">
        <v>0.57740999999999998</v>
      </c>
      <c r="X68" s="18">
        <v>0.57499</v>
      </c>
      <c r="Y68" s="22">
        <v>0.55657999999999996</v>
      </c>
    </row>
    <row r="69" spans="4:25" x14ac:dyDescent="0.25">
      <c r="D69" s="21" t="s">
        <v>24</v>
      </c>
      <c r="E69" s="11">
        <v>0.38188</v>
      </c>
      <c r="F69" s="16">
        <v>0.36348999999999998</v>
      </c>
      <c r="G69" s="5">
        <v>0.37375000000000003</v>
      </c>
      <c r="H69" s="16">
        <v>0.28508</v>
      </c>
      <c r="I69" s="5">
        <v>0.27417999999999998</v>
      </c>
      <c r="J69" s="16">
        <v>0.27650000000000002</v>
      </c>
      <c r="K69" s="6">
        <v>0.59782000000000002</v>
      </c>
      <c r="L69" s="18">
        <v>0.56655</v>
      </c>
      <c r="M69" s="22">
        <v>0.57935000000000003</v>
      </c>
      <c r="P69" s="21" t="s">
        <v>24</v>
      </c>
      <c r="Q69" s="11">
        <v>0.22012000000000001</v>
      </c>
      <c r="R69" s="16">
        <v>0.21909000000000001</v>
      </c>
      <c r="S69" s="5">
        <v>0.21329000000000001</v>
      </c>
      <c r="T69" s="16">
        <v>0.22083</v>
      </c>
      <c r="U69" s="5">
        <v>0.22028</v>
      </c>
      <c r="V69" s="16">
        <v>0.21160000000000001</v>
      </c>
      <c r="W69" s="6">
        <v>0.51749000000000001</v>
      </c>
      <c r="X69" s="18">
        <v>0.51526000000000005</v>
      </c>
      <c r="Y69" s="22">
        <v>0.49331999999999998</v>
      </c>
    </row>
    <row r="70" spans="4:25" x14ac:dyDescent="0.25">
      <c r="D70" s="21" t="s">
        <v>25</v>
      </c>
      <c r="E70" s="11">
        <v>0.25370999999999999</v>
      </c>
      <c r="F70" s="16">
        <v>0.24510000000000001</v>
      </c>
      <c r="G70" s="5">
        <v>0.23777999999999999</v>
      </c>
      <c r="H70" s="16">
        <v>0.21375</v>
      </c>
      <c r="I70" s="5">
        <v>0.20924000000000001</v>
      </c>
      <c r="J70" s="16">
        <v>0.20682</v>
      </c>
      <c r="K70" s="6">
        <v>0.80259000000000003</v>
      </c>
      <c r="L70" s="18">
        <v>0.78452</v>
      </c>
      <c r="M70" s="22">
        <v>0.76988999999999996</v>
      </c>
      <c r="P70" s="21" t="s">
        <v>25</v>
      </c>
      <c r="Q70" s="11">
        <v>0.27828000000000003</v>
      </c>
      <c r="R70" s="16">
        <v>0.28166000000000002</v>
      </c>
      <c r="S70" s="5">
        <v>0.26418000000000003</v>
      </c>
      <c r="T70" s="16">
        <v>0.23469999999999999</v>
      </c>
      <c r="U70" s="5">
        <v>0.23913000000000001</v>
      </c>
      <c r="V70" s="16">
        <v>0.22892000000000001</v>
      </c>
      <c r="W70" s="6">
        <v>0.91037999999999997</v>
      </c>
      <c r="X70" s="18">
        <v>0.92920999999999998</v>
      </c>
      <c r="Y70" s="22">
        <v>0.89759999999999995</v>
      </c>
    </row>
    <row r="71" spans="4:25" x14ac:dyDescent="0.25">
      <c r="D71" s="21" t="s">
        <v>45</v>
      </c>
      <c r="E71" s="11">
        <v>0.33623999999999998</v>
      </c>
      <c r="F71" s="16">
        <v>0.33855000000000002</v>
      </c>
      <c r="G71" s="5">
        <v>0.33350999999999997</v>
      </c>
      <c r="H71" s="16">
        <v>0.35253000000000001</v>
      </c>
      <c r="I71" s="5">
        <v>0.35642000000000001</v>
      </c>
      <c r="J71" s="16">
        <v>0.35792000000000002</v>
      </c>
      <c r="K71" s="6">
        <v>1.1017600000000001</v>
      </c>
      <c r="L71" s="18">
        <v>1.1101700000000001</v>
      </c>
      <c r="M71" s="22">
        <v>1.10867</v>
      </c>
      <c r="P71" s="21" t="s">
        <v>45</v>
      </c>
      <c r="Q71" s="11">
        <v>0.35438999999999998</v>
      </c>
      <c r="R71" s="16">
        <v>0.36044999999999999</v>
      </c>
      <c r="S71" s="5">
        <v>0.33391999999999999</v>
      </c>
      <c r="T71" s="16">
        <v>0.29193000000000002</v>
      </c>
      <c r="U71" s="5">
        <v>0.29371999999999998</v>
      </c>
      <c r="V71" s="16">
        <v>0.28505999999999998</v>
      </c>
      <c r="W71" s="6">
        <v>0.63766</v>
      </c>
      <c r="X71" s="18">
        <v>0.64807000000000003</v>
      </c>
      <c r="Y71" s="22">
        <v>0.61631999999999998</v>
      </c>
    </row>
    <row r="72" spans="4:25" x14ac:dyDescent="0.25">
      <c r="D72" s="21" t="s">
        <v>26</v>
      </c>
      <c r="E72" s="11">
        <v>0.24859999999999999</v>
      </c>
      <c r="F72" s="16">
        <v>0.24016999999999999</v>
      </c>
      <c r="G72" s="5">
        <v>0.24542</v>
      </c>
      <c r="H72" s="16">
        <v>0.24618999999999999</v>
      </c>
      <c r="I72" s="5">
        <v>0.24185999999999999</v>
      </c>
      <c r="J72" s="16">
        <v>0.24776999999999999</v>
      </c>
      <c r="K72" s="6">
        <v>0.67342999999999997</v>
      </c>
      <c r="L72" s="18">
        <v>0.65986999999999996</v>
      </c>
      <c r="M72" s="22">
        <v>0.67271000000000003</v>
      </c>
      <c r="P72" s="21" t="s">
        <v>26</v>
      </c>
      <c r="Q72" s="11">
        <v>0.33088000000000001</v>
      </c>
      <c r="R72" s="16">
        <v>0.33359</v>
      </c>
      <c r="S72" s="5">
        <v>0.31158000000000002</v>
      </c>
      <c r="T72" s="16">
        <v>0.27539999999999998</v>
      </c>
      <c r="U72" s="5">
        <v>0.27854000000000001</v>
      </c>
      <c r="V72" s="16">
        <v>0.27181</v>
      </c>
      <c r="W72" s="6">
        <v>0.79057999999999995</v>
      </c>
      <c r="X72" s="18">
        <v>0.80901000000000001</v>
      </c>
      <c r="Y72" s="22">
        <v>0.73680000000000001</v>
      </c>
    </row>
    <row r="73" spans="4:25" x14ac:dyDescent="0.25">
      <c r="D73" s="21" t="s">
        <v>27</v>
      </c>
      <c r="E73" s="11">
        <v>0.28461999999999998</v>
      </c>
      <c r="F73" s="16">
        <v>0.27511000000000002</v>
      </c>
      <c r="G73" s="5">
        <v>0.26090000000000002</v>
      </c>
      <c r="H73" s="16">
        <v>0.26136999999999999</v>
      </c>
      <c r="I73" s="5">
        <v>0.26196999999999998</v>
      </c>
      <c r="J73" s="16">
        <v>0.25956000000000001</v>
      </c>
      <c r="K73" s="6">
        <v>0.47904000000000002</v>
      </c>
      <c r="L73" s="18">
        <v>0.47542000000000001</v>
      </c>
      <c r="M73" s="22">
        <v>0.48209000000000002</v>
      </c>
      <c r="P73" s="21" t="s">
        <v>27</v>
      </c>
      <c r="Q73" s="11">
        <v>0.32124999999999998</v>
      </c>
      <c r="R73" s="16">
        <v>0.31280999999999998</v>
      </c>
      <c r="S73" s="5">
        <v>0.27300000000000002</v>
      </c>
      <c r="T73" s="16">
        <v>0.28064</v>
      </c>
      <c r="U73" s="5">
        <v>0.27951999999999999</v>
      </c>
      <c r="V73" s="16">
        <v>0.25818999999999998</v>
      </c>
      <c r="W73" s="6">
        <v>0.72372000000000003</v>
      </c>
      <c r="X73" s="18">
        <v>0.74482999999999999</v>
      </c>
      <c r="Y73" s="22">
        <v>0.69945000000000002</v>
      </c>
    </row>
    <row r="74" spans="4:25" x14ac:dyDescent="0.25">
      <c r="D74" s="21" t="s">
        <v>28</v>
      </c>
      <c r="E74" s="11">
        <v>0.32717000000000002</v>
      </c>
      <c r="F74" s="16">
        <v>0.32569999999999999</v>
      </c>
      <c r="G74" s="5">
        <v>0.32856999999999997</v>
      </c>
      <c r="H74" s="16">
        <v>0.33865000000000001</v>
      </c>
      <c r="I74" s="5">
        <v>0.33761999999999998</v>
      </c>
      <c r="J74" s="16">
        <v>0.34533999999999998</v>
      </c>
      <c r="K74" s="6">
        <v>0.74550000000000005</v>
      </c>
      <c r="L74" s="18">
        <v>0.74058000000000002</v>
      </c>
      <c r="M74" s="22">
        <v>0.75356000000000001</v>
      </c>
      <c r="P74" s="21" t="s">
        <v>28</v>
      </c>
      <c r="Q74" s="11">
        <v>0.31152000000000002</v>
      </c>
      <c r="R74" s="16">
        <v>0.31618000000000002</v>
      </c>
      <c r="S74" s="5">
        <v>0.29576999999999998</v>
      </c>
      <c r="T74" s="16">
        <v>0.28421999999999997</v>
      </c>
      <c r="U74" s="5">
        <v>0.28854000000000002</v>
      </c>
      <c r="V74" s="16">
        <v>0.28139999999999998</v>
      </c>
      <c r="W74" s="6">
        <v>0.4279</v>
      </c>
      <c r="X74" s="18">
        <v>0.4299</v>
      </c>
      <c r="Y74" s="22">
        <v>0.42798999999999998</v>
      </c>
    </row>
    <row r="75" spans="4:25" x14ac:dyDescent="0.25">
      <c r="D75" s="21" t="s">
        <v>39</v>
      </c>
      <c r="E75" s="11">
        <v>0.36266999999999999</v>
      </c>
      <c r="F75" s="16">
        <v>0.36729000000000001</v>
      </c>
      <c r="G75" s="5">
        <v>0.35138999999999998</v>
      </c>
      <c r="H75" s="16">
        <v>0.38895000000000002</v>
      </c>
      <c r="I75" s="5">
        <v>0.39102999999999999</v>
      </c>
      <c r="J75" s="16">
        <v>0.37220999999999999</v>
      </c>
      <c r="K75" s="6">
        <v>1.0071300000000001</v>
      </c>
      <c r="L75" s="18">
        <v>1.01681</v>
      </c>
      <c r="M75" s="22">
        <v>0.96921000000000002</v>
      </c>
      <c r="P75" s="21" t="s">
        <v>39</v>
      </c>
      <c r="Q75" s="11">
        <v>0.42096</v>
      </c>
      <c r="R75" s="16">
        <v>0.41879</v>
      </c>
      <c r="S75" s="5">
        <v>0.42544999999999999</v>
      </c>
      <c r="T75" s="16">
        <v>0.38949</v>
      </c>
      <c r="U75" s="5">
        <v>0.38736999999999999</v>
      </c>
      <c r="V75" s="16">
        <v>0.38700000000000001</v>
      </c>
      <c r="W75" s="6">
        <v>0.95535000000000003</v>
      </c>
      <c r="X75" s="18">
        <v>0.95064000000000004</v>
      </c>
      <c r="Y75" s="22">
        <v>0.95269999999999999</v>
      </c>
    </row>
    <row r="76" spans="4:25" x14ac:dyDescent="0.25">
      <c r="D76" s="23" t="s">
        <v>40</v>
      </c>
      <c r="E76" s="12">
        <v>0.48975000000000002</v>
      </c>
      <c r="F76" s="17">
        <v>0.49878</v>
      </c>
      <c r="G76" s="13">
        <v>0.51919999999999999</v>
      </c>
      <c r="H76" s="17">
        <v>0.50363999999999998</v>
      </c>
      <c r="I76" s="13">
        <v>0.50846000000000002</v>
      </c>
      <c r="J76" s="17">
        <v>0.51087000000000005</v>
      </c>
      <c r="K76" s="14">
        <v>0.53268000000000004</v>
      </c>
      <c r="L76" s="45">
        <v>0.55176000000000003</v>
      </c>
      <c r="M76" s="24">
        <v>0.56984000000000001</v>
      </c>
      <c r="P76" s="23" t="s">
        <v>40</v>
      </c>
      <c r="Q76" s="12">
        <v>0.49081000000000002</v>
      </c>
      <c r="R76" s="17">
        <v>0.48048000000000002</v>
      </c>
      <c r="S76" s="13">
        <v>0.47078999999999999</v>
      </c>
      <c r="T76" s="17">
        <v>0.48905999999999999</v>
      </c>
      <c r="U76" s="13">
        <v>0.48230000000000001</v>
      </c>
      <c r="V76" s="17">
        <v>0.46187</v>
      </c>
      <c r="W76" s="14">
        <v>0.46215000000000001</v>
      </c>
      <c r="X76" s="45">
        <v>0.45844000000000001</v>
      </c>
      <c r="Y76" s="24">
        <v>0.44375999999999999</v>
      </c>
    </row>
    <row r="77" spans="4:25" x14ac:dyDescent="0.25">
      <c r="E77" s="7">
        <f>AVERAGE(E62:E76)</f>
        <v>0.36228866666666659</v>
      </c>
      <c r="F77" s="7">
        <f t="shared" ref="F77:M77" si="4">AVERAGE(F62:F76)</f>
        <v>0.3572366666666667</v>
      </c>
      <c r="G77" s="7">
        <f t="shared" si="4"/>
        <v>0.3580773333333333</v>
      </c>
      <c r="H77" s="7">
        <f t="shared" si="4"/>
        <v>0.34481400000000001</v>
      </c>
      <c r="I77" s="7">
        <f t="shared" si="4"/>
        <v>0.34542733333333331</v>
      </c>
      <c r="J77" s="7">
        <f t="shared" si="4"/>
        <v>0.34116466666666667</v>
      </c>
      <c r="K77" s="7">
        <f t="shared" si="4"/>
        <v>0.73571199999999992</v>
      </c>
      <c r="L77" s="7">
        <f t="shared" si="4"/>
        <v>0.74201933333333325</v>
      </c>
      <c r="M77" s="7">
        <f t="shared" si="4"/>
        <v>0.73131533333333321</v>
      </c>
      <c r="Q77" s="7">
        <f>AVERAGE(Q62:Q76)</f>
        <v>0.34020266666666665</v>
      </c>
      <c r="R77" s="7">
        <f t="shared" ref="R77:Y77" si="5">AVERAGE(R62:R76)</f>
        <v>0.33746466666666669</v>
      </c>
      <c r="S77" s="7">
        <f t="shared" si="5"/>
        <v>0.3244886666666667</v>
      </c>
      <c r="T77" s="7">
        <f t="shared" si="5"/>
        <v>0.31494133333333335</v>
      </c>
      <c r="U77" s="7">
        <f t="shared" si="5"/>
        <v>0.3148953333333333</v>
      </c>
      <c r="V77" s="7">
        <f t="shared" si="5"/>
        <v>0.30281000000000002</v>
      </c>
      <c r="W77" s="7">
        <f t="shared" si="5"/>
        <v>0.70161399999999985</v>
      </c>
      <c r="X77" s="7">
        <f t="shared" si="5"/>
        <v>0.70569399999999993</v>
      </c>
      <c r="Y77" s="7">
        <f t="shared" si="5"/>
        <v>0.68499533333333318</v>
      </c>
    </row>
  </sheetData>
  <mergeCells count="18">
    <mergeCell ref="K60:M60"/>
    <mergeCell ref="Q42:S42"/>
    <mergeCell ref="T42:V42"/>
    <mergeCell ref="W42:Y42"/>
    <mergeCell ref="E42:G42"/>
    <mergeCell ref="H42:J42"/>
    <mergeCell ref="K42:M42"/>
    <mergeCell ref="Q60:S60"/>
    <mergeCell ref="T60:V60"/>
    <mergeCell ref="W60:Y60"/>
    <mergeCell ref="E60:G60"/>
    <mergeCell ref="H60:J60"/>
    <mergeCell ref="K24:M24"/>
    <mergeCell ref="Q24:S24"/>
    <mergeCell ref="T24:V24"/>
    <mergeCell ref="W24:Y24"/>
    <mergeCell ref="E24:G24"/>
    <mergeCell ref="H24:J24"/>
  </mergeCells>
  <conditionalFormatting sqref="R26">
    <cfRule type="cellIs" dxfId="0" priority="1" operator="lessThan">
      <formula>$Q$26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all period</vt:lpstr>
      <vt:lpstr>sig all period raw</vt:lpstr>
      <vt:lpstr>sig all period format</vt:lpstr>
      <vt:lpstr>non</vt:lpstr>
      <vt:lpstr>promo</vt:lpstr>
      <vt:lpstr>improve_on_ADL_own</vt:lpstr>
      <vt:lpstr>improve_on_ADL</vt:lpstr>
      <vt:lpstr>improve_on_ADLown raw</vt:lpstr>
      <vt:lpstr>improve_on_ADL raw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SAS Output</dc:title>
  <dc:creator>黄韬</dc:creator>
  <cp:lastModifiedBy>game</cp:lastModifiedBy>
  <dcterms:created xsi:type="dcterms:W3CDTF">2016-02-07T23:04:27Z</dcterms:created>
  <dcterms:modified xsi:type="dcterms:W3CDTF">2016-09-06T21:39:47Z</dcterms:modified>
</cp:coreProperties>
</file>